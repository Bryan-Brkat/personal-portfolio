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05_Hustle\03_Investments\02_PitchIn\"/>
    </mc:Choice>
  </mc:AlternateContent>
  <xr:revisionPtr revIDLastSave="0" documentId="13_ncr:1_{DDC9AC6D-207D-4BF4-84E6-3285EBFF5A06}" xr6:coauthVersionLast="47" xr6:coauthVersionMax="47" xr10:uidLastSave="{00000000-0000-0000-0000-000000000000}"/>
  <bookViews>
    <workbookView xWindow="-120" yWindow="-16320" windowWidth="29040" windowHeight="16440" tabRatio="500" xr2:uid="{00000000-000D-0000-FFFF-FFFF00000000}"/>
  </bookViews>
  <sheets>
    <sheet name="Cover" sheetId="11" r:id="rId1"/>
    <sheet name="Assumptions" sheetId="2" r:id="rId2"/>
    <sheet name="Financials (Annual)" sheetId="3" r:id="rId3"/>
    <sheet name="Revenue (Monthly)" sheetId="12" r:id="rId4"/>
    <sheet name="Cohort Analysis (Y2026)" sheetId="13" r:id="rId5"/>
    <sheet name="Valuation" sheetId="4" r:id="rId6"/>
    <sheet name="Return Modelling" sheetId="5" r:id="rId7"/>
    <sheet name="Credit &amp; Risk" sheetId="6" r:id="rId8"/>
    <sheet name="Deal Structuring" sheetId="7" r:id="rId9"/>
    <sheet name="Market Sizing" sheetId="8" r:id="rId10"/>
    <sheet name="Competitive" sheetId="9" r:id="rId11"/>
    <sheet name="Deal Assessment" sheetId="10" r:id="rId1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6" l="1"/>
  <c r="G13" i="6"/>
  <c r="G12" i="6"/>
  <c r="G11" i="6"/>
  <c r="G10" i="6"/>
  <c r="G9" i="6"/>
  <c r="G8" i="6"/>
  <c r="G6" i="6"/>
  <c r="G5" i="6"/>
  <c r="G7" i="6"/>
  <c r="B31" i="11"/>
  <c r="B30" i="11"/>
  <c r="B29" i="11"/>
  <c r="B28" i="11"/>
  <c r="B27" i="11"/>
  <c r="B26" i="11"/>
  <c r="B25" i="11"/>
  <c r="B24" i="11"/>
  <c r="B23" i="11"/>
  <c r="B22" i="11"/>
  <c r="B21" i="11"/>
  <c r="G21" i="9" l="1"/>
  <c r="F21" i="9"/>
  <c r="E21" i="9"/>
  <c r="D21" i="9"/>
  <c r="C21" i="9"/>
  <c r="F7" i="8"/>
  <c r="F6" i="8"/>
  <c r="F5" i="8"/>
  <c r="D25" i="13"/>
  <c r="D24" i="13"/>
  <c r="D23" i="13"/>
  <c r="D22" i="13"/>
  <c r="D21" i="13"/>
  <c r="D20" i="13"/>
  <c r="D19" i="13"/>
  <c r="D18" i="13"/>
  <c r="D17" i="13"/>
  <c r="D16" i="13"/>
  <c r="D15" i="13"/>
  <c r="F8" i="7"/>
  <c r="F7" i="7"/>
  <c r="F6" i="7"/>
  <c r="F5" i="7"/>
  <c r="F9" i="7" s="1"/>
  <c r="E8" i="7"/>
  <c r="E9" i="7" s="1"/>
  <c r="C9" i="7"/>
  <c r="D8" i="7" s="1"/>
  <c r="C15" i="7"/>
  <c r="C26" i="4"/>
  <c r="C15" i="5"/>
  <c r="C9" i="5"/>
  <c r="C29" i="4"/>
  <c r="C6" i="5"/>
  <c r="C16" i="5" s="1"/>
  <c r="C18" i="4"/>
  <c r="C16" i="4"/>
  <c r="C6" i="4"/>
  <c r="G43" i="2"/>
  <c r="G40" i="2"/>
  <c r="D5" i="7" l="1"/>
  <c r="D6" i="7"/>
  <c r="D7" i="7"/>
  <c r="D9" i="7"/>
  <c r="G46" i="2"/>
  <c r="C5" i="4" s="1"/>
  <c r="D13" i="12" l="1"/>
  <c r="D40" i="12" s="1"/>
  <c r="D12" i="12"/>
  <c r="D29" i="12" s="1"/>
  <c r="D11" i="12"/>
  <c r="D7" i="12"/>
  <c r="D41" i="12" s="1"/>
  <c r="D6" i="12"/>
  <c r="D30" i="12" s="1"/>
  <c r="D5" i="12"/>
  <c r="C10" i="13"/>
  <c r="D56" i="12"/>
  <c r="D52" i="12"/>
  <c r="D58" i="12" s="1"/>
  <c r="D50" i="12"/>
  <c r="F7" i="2"/>
  <c r="G7" i="2"/>
  <c r="H7" i="2"/>
  <c r="I7" i="2"/>
  <c r="E51" i="12"/>
  <c r="D20" i="12"/>
  <c r="D31" i="12"/>
  <c r="D19" i="12"/>
  <c r="C35" i="3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D46" i="12" s="1"/>
  <c r="D43" i="12"/>
  <c r="D42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D35" i="12" s="1"/>
  <c r="D32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D24" i="12" s="1"/>
  <c r="D21" i="12"/>
  <c r="D18" i="12"/>
  <c r="E7" i="2"/>
  <c r="E55" i="12" l="1"/>
  <c r="E54" i="12"/>
  <c r="E52" i="12"/>
  <c r="C45" i="12"/>
  <c r="C34" i="12"/>
  <c r="D57" i="12"/>
  <c r="D33" i="12"/>
  <c r="E28" i="12" s="1"/>
  <c r="E12" i="12" s="1"/>
  <c r="E53" i="12"/>
  <c r="E60" i="12" s="1"/>
  <c r="D44" i="12"/>
  <c r="D22" i="12"/>
  <c r="C23" i="12"/>
  <c r="E58" i="12" l="1"/>
  <c r="E61" i="12"/>
  <c r="E62" i="12"/>
  <c r="E56" i="12"/>
  <c r="E50" i="12"/>
  <c r="E30" i="12"/>
  <c r="E35" i="12"/>
  <c r="E17" i="12"/>
  <c r="E11" i="12" s="1"/>
  <c r="E32" i="12"/>
  <c r="E31" i="12"/>
  <c r="E39" i="12"/>
  <c r="E13" i="12" s="1"/>
  <c r="E18" i="12" l="1"/>
  <c r="E29" i="12" s="1"/>
  <c r="E57" i="12"/>
  <c r="E59" i="12"/>
  <c r="E20" i="12"/>
  <c r="F51" i="12"/>
  <c r="E46" i="12"/>
  <c r="E41" i="12"/>
  <c r="E19" i="12"/>
  <c r="E40" i="12" s="1"/>
  <c r="E24" i="12"/>
  <c r="E21" i="12"/>
  <c r="E43" i="12"/>
  <c r="E42" i="12"/>
  <c r="C36" i="10"/>
  <c r="F35" i="10"/>
  <c r="F34" i="10"/>
  <c r="F33" i="10"/>
  <c r="F32" i="10"/>
  <c r="F31" i="10"/>
  <c r="C27" i="10"/>
  <c r="F26" i="10"/>
  <c r="F25" i="10"/>
  <c r="F24" i="10"/>
  <c r="F23" i="10"/>
  <c r="F22" i="10"/>
  <c r="C18" i="10"/>
  <c r="F17" i="10"/>
  <c r="F16" i="10"/>
  <c r="F15" i="10"/>
  <c r="F14" i="10"/>
  <c r="C10" i="10"/>
  <c r="F9" i="10"/>
  <c r="F8" i="10"/>
  <c r="F7" i="10"/>
  <c r="F6" i="10"/>
  <c r="F5" i="10"/>
  <c r="C14" i="8"/>
  <c r="C15" i="8" s="1"/>
  <c r="F14" i="6"/>
  <c r="F13" i="6"/>
  <c r="F12" i="6"/>
  <c r="F11" i="6"/>
  <c r="F10" i="6"/>
  <c r="F9" i="6"/>
  <c r="F8" i="6"/>
  <c r="F7" i="6"/>
  <c r="F6" i="6"/>
  <c r="F5" i="6"/>
  <c r="C5" i="3"/>
  <c r="F15" i="6" l="1"/>
  <c r="G15" i="6" s="1"/>
  <c r="F52" i="12"/>
  <c r="F54" i="12"/>
  <c r="C16" i="3"/>
  <c r="C23" i="3" s="1"/>
  <c r="C25" i="3"/>
  <c r="D5" i="3"/>
  <c r="C9" i="3"/>
  <c r="C11" i="3"/>
  <c r="C10" i="3"/>
  <c r="C7" i="3"/>
  <c r="C8" i="3" s="1"/>
  <c r="F53" i="12"/>
  <c r="E33" i="12"/>
  <c r="F55" i="12"/>
  <c r="E22" i="12"/>
  <c r="E44" i="12"/>
  <c r="F17" i="12" l="1"/>
  <c r="F11" i="12" s="1"/>
  <c r="F28" i="12"/>
  <c r="F12" i="12" s="1"/>
  <c r="D16" i="3"/>
  <c r="D23" i="3" s="1"/>
  <c r="D24" i="3"/>
  <c r="D25" i="3"/>
  <c r="D11" i="3"/>
  <c r="D7" i="3"/>
  <c r="D10" i="3"/>
  <c r="D9" i="3"/>
  <c r="F60" i="12"/>
  <c r="F62" i="12"/>
  <c r="F50" i="12"/>
  <c r="F56" i="12"/>
  <c r="F58" i="12"/>
  <c r="F61" i="12"/>
  <c r="F39" i="12"/>
  <c r="F13" i="12" s="1"/>
  <c r="C12" i="3"/>
  <c r="C13" i="3" s="1"/>
  <c r="D6" i="3"/>
  <c r="D31" i="3" s="1"/>
  <c r="F46" i="12" l="1"/>
  <c r="F32" i="12"/>
  <c r="F20" i="12"/>
  <c r="F18" i="12"/>
  <c r="F21" i="12"/>
  <c r="F35" i="12"/>
  <c r="F30" i="12"/>
  <c r="F24" i="12"/>
  <c r="F19" i="12"/>
  <c r="F40" i="12" s="1"/>
  <c r="F31" i="12"/>
  <c r="G54" i="12" s="1"/>
  <c r="F57" i="12"/>
  <c r="F59" i="12"/>
  <c r="D12" i="3"/>
  <c r="D13" i="3" s="1"/>
  <c r="G51" i="12"/>
  <c r="F41" i="12"/>
  <c r="C17" i="3"/>
  <c r="F43" i="12"/>
  <c r="F42" i="12"/>
  <c r="C14" i="3"/>
  <c r="C33" i="3" s="1"/>
  <c r="D8" i="3"/>
  <c r="F29" i="12" l="1"/>
  <c r="G52" i="12" s="1"/>
  <c r="G55" i="12"/>
  <c r="F22" i="12"/>
  <c r="G17" i="12" s="1"/>
  <c r="G11" i="12" s="1"/>
  <c r="G53" i="12"/>
  <c r="C18" i="3"/>
  <c r="C19" i="3" s="1"/>
  <c r="C22" i="3" s="1"/>
  <c r="C26" i="3" s="1"/>
  <c r="C27" i="3" s="1"/>
  <c r="C32" i="3" s="1"/>
  <c r="F44" i="12"/>
  <c r="F33" i="12"/>
  <c r="D14" i="3"/>
  <c r="D33" i="3" s="1"/>
  <c r="D17" i="3"/>
  <c r="D18" i="3" s="1"/>
  <c r="G61" i="12" l="1"/>
  <c r="G18" i="12"/>
  <c r="G62" i="12"/>
  <c r="G58" i="12"/>
  <c r="G59" i="12" s="1"/>
  <c r="G60" i="12"/>
  <c r="G28" i="12"/>
  <c r="G12" i="12" s="1"/>
  <c r="G20" i="12"/>
  <c r="G19" i="12"/>
  <c r="G21" i="12"/>
  <c r="G24" i="12"/>
  <c r="G56" i="12"/>
  <c r="G50" i="12"/>
  <c r="G39" i="12"/>
  <c r="G13" i="12" s="1"/>
  <c r="D19" i="3"/>
  <c r="D22" i="3" s="1"/>
  <c r="D26" i="3" s="1"/>
  <c r="G40" i="12" l="1"/>
  <c r="G32" i="12"/>
  <c r="G30" i="12"/>
  <c r="G35" i="12"/>
  <c r="G29" i="12"/>
  <c r="G31" i="12"/>
  <c r="H54" i="12" s="1"/>
  <c r="G46" i="12"/>
  <c r="G57" i="12"/>
  <c r="H51" i="12"/>
  <c r="G22" i="12"/>
  <c r="G41" i="12"/>
  <c r="G43" i="12"/>
  <c r="G42" i="12"/>
  <c r="D27" i="3"/>
  <c r="D32" i="3" s="1"/>
  <c r="D34" i="3" s="1"/>
  <c r="D35" i="3" s="1"/>
  <c r="H52" i="12" l="1"/>
  <c r="H55" i="12"/>
  <c r="H53" i="12"/>
  <c r="H17" i="12"/>
  <c r="H11" i="12" s="1"/>
  <c r="G44" i="12"/>
  <c r="G33" i="12"/>
  <c r="H21" i="12" l="1"/>
  <c r="H60" i="12"/>
  <c r="H62" i="12"/>
  <c r="H61" i="12"/>
  <c r="H58" i="12"/>
  <c r="H59" i="12" s="1"/>
  <c r="H39" i="12"/>
  <c r="H13" i="12" s="1"/>
  <c r="H28" i="12"/>
  <c r="H12" i="12" s="1"/>
  <c r="H50" i="12"/>
  <c r="H56" i="12"/>
  <c r="H19" i="12"/>
  <c r="H24" i="12"/>
  <c r="H20" i="12"/>
  <c r="H35" i="12" l="1"/>
  <c r="H42" i="12"/>
  <c r="H18" i="12"/>
  <c r="H31" i="12"/>
  <c r="I54" i="12" s="1"/>
  <c r="H32" i="12"/>
  <c r="H30" i="12"/>
  <c r="H43" i="12"/>
  <c r="H41" i="12"/>
  <c r="I51" i="12"/>
  <c r="H46" i="12"/>
  <c r="H57" i="12"/>
  <c r="H40" i="12" l="1"/>
  <c r="H29" i="12"/>
  <c r="I55" i="12"/>
  <c r="I53" i="12"/>
  <c r="H22" i="12"/>
  <c r="I17" i="12" s="1"/>
  <c r="I11" i="12" s="1"/>
  <c r="H33" i="12"/>
  <c r="I28" i="12" s="1"/>
  <c r="I12" i="12" s="1"/>
  <c r="H44" i="12"/>
  <c r="I39" i="12" s="1"/>
  <c r="I13" i="12" s="1"/>
  <c r="I52" i="12" l="1"/>
  <c r="I62" i="12" s="1"/>
  <c r="I35" i="12"/>
  <c r="I20" i="12"/>
  <c r="I60" i="12"/>
  <c r="I61" i="12"/>
  <c r="I24" i="12"/>
  <c r="I19" i="12"/>
  <c r="I40" i="12" s="1"/>
  <c r="I50" i="12"/>
  <c r="I56" i="12"/>
  <c r="I57" i="12" s="1"/>
  <c r="I21" i="12"/>
  <c r="I30" i="12"/>
  <c r="I31" i="12"/>
  <c r="I32" i="12"/>
  <c r="I42" i="12"/>
  <c r="I41" i="12"/>
  <c r="J51" i="12"/>
  <c r="I43" i="12"/>
  <c r="I46" i="12"/>
  <c r="I58" i="12" l="1"/>
  <c r="I59" i="12" s="1"/>
  <c r="J54" i="12"/>
  <c r="I18" i="12"/>
  <c r="J53" i="12"/>
  <c r="J55" i="12"/>
  <c r="I44" i="12"/>
  <c r="J39" i="12" s="1"/>
  <c r="J13" i="12" s="1"/>
  <c r="I22" i="12" l="1"/>
  <c r="J17" i="12" s="1"/>
  <c r="J11" i="12" s="1"/>
  <c r="I29" i="12"/>
  <c r="J61" i="12"/>
  <c r="J60" i="12"/>
  <c r="J43" i="12"/>
  <c r="J46" i="12"/>
  <c r="J42" i="12"/>
  <c r="J41" i="12"/>
  <c r="J20" i="12"/>
  <c r="J24" i="12"/>
  <c r="J19" i="12"/>
  <c r="J40" i="12" s="1"/>
  <c r="J21" i="12"/>
  <c r="J18" i="12" l="1"/>
  <c r="J52" i="12"/>
  <c r="I33" i="12"/>
  <c r="J28" i="12" l="1"/>
  <c r="J12" i="12" s="1"/>
  <c r="J50" i="12"/>
  <c r="J56" i="12"/>
  <c r="J57" i="12" s="1"/>
  <c r="J62" i="12"/>
  <c r="J58" i="12"/>
  <c r="J59" i="12" s="1"/>
  <c r="J29" i="12" l="1"/>
  <c r="K52" i="12" s="1"/>
  <c r="J30" i="12"/>
  <c r="K53" i="12" s="1"/>
  <c r="J31" i="12"/>
  <c r="K51" i="12"/>
  <c r="J32" i="12"/>
  <c r="J35" i="12"/>
  <c r="J33" i="12" l="1"/>
  <c r="K28" i="12" s="1"/>
  <c r="K12" i="12" s="1"/>
  <c r="J44" i="12"/>
  <c r="K39" i="12" s="1"/>
  <c r="K13" i="12" s="1"/>
  <c r="K54" i="12"/>
  <c r="J22" i="12"/>
  <c r="K55" i="12"/>
  <c r="K61" i="12" s="1"/>
  <c r="K62" i="12" l="1"/>
  <c r="K60" i="12"/>
  <c r="K43" i="12"/>
  <c r="K46" i="12"/>
  <c r="K41" i="12"/>
  <c r="K42" i="12"/>
  <c r="K58" i="12"/>
  <c r="K59" i="12" s="1"/>
  <c r="K17" i="12"/>
  <c r="K11" i="12" s="1"/>
  <c r="K56" i="12"/>
  <c r="K57" i="12" s="1"/>
  <c r="K50" i="12"/>
  <c r="K35" i="12"/>
  <c r="K32" i="12"/>
  <c r="K30" i="12"/>
  <c r="K31" i="12"/>
  <c r="L55" i="12" l="1"/>
  <c r="K18" i="12"/>
  <c r="K20" i="12"/>
  <c r="L54" i="12" s="1"/>
  <c r="K19" i="12"/>
  <c r="L51" i="12"/>
  <c r="K24" i="12"/>
  <c r="K21" i="12"/>
  <c r="L53" i="12" l="1"/>
  <c r="L61" i="12" s="1"/>
  <c r="K40" i="12"/>
  <c r="K44" i="12" s="1"/>
  <c r="L39" i="12" s="1"/>
  <c r="L13" i="12" s="1"/>
  <c r="L60" i="12"/>
  <c r="K29" i="12"/>
  <c r="K33" i="12" s="1"/>
  <c r="L28" i="12" s="1"/>
  <c r="L12" i="12" s="1"/>
  <c r="K22" i="12"/>
  <c r="L32" i="12" l="1"/>
  <c r="L35" i="12"/>
  <c r="L30" i="12"/>
  <c r="L31" i="12"/>
  <c r="L56" i="12"/>
  <c r="L57" i="12" s="1"/>
  <c r="L50" i="12"/>
  <c r="L17" i="12"/>
  <c r="L11" i="12" s="1"/>
  <c r="L52" i="12"/>
  <c r="L41" i="12"/>
  <c r="L43" i="12"/>
  <c r="L42" i="12"/>
  <c r="L46" i="12"/>
  <c r="M55" i="12" l="1"/>
  <c r="L58" i="12"/>
  <c r="L59" i="12" s="1"/>
  <c r="L62" i="12"/>
  <c r="L20" i="12"/>
  <c r="M54" i="12" s="1"/>
  <c r="L18" i="12"/>
  <c r="M51" i="12"/>
  <c r="L24" i="12"/>
  <c r="L19" i="12"/>
  <c r="L21" i="12"/>
  <c r="L22" i="12" l="1"/>
  <c r="M17" i="12" s="1"/>
  <c r="M11" i="12" s="1"/>
  <c r="M53" i="12"/>
  <c r="M61" i="12" s="1"/>
  <c r="L40" i="12"/>
  <c r="L44" i="12" s="1"/>
  <c r="M39" i="12" s="1"/>
  <c r="M13" i="12" s="1"/>
  <c r="M60" i="12"/>
  <c r="L29" i="12"/>
  <c r="L33" i="12" s="1"/>
  <c r="M28" i="12" s="1"/>
  <c r="M12" i="12" s="1"/>
  <c r="M24" i="12" l="1"/>
  <c r="M21" i="12"/>
  <c r="M20" i="12"/>
  <c r="M19" i="12"/>
  <c r="M40" i="12"/>
  <c r="M42" i="12"/>
  <c r="M41" i="12"/>
  <c r="M43" i="12"/>
  <c r="M46" i="12"/>
  <c r="N51" i="12"/>
  <c r="M18" i="12"/>
  <c r="M31" i="12"/>
  <c r="M32" i="12"/>
  <c r="M30" i="12"/>
  <c r="M35" i="12"/>
  <c r="M52" i="12"/>
  <c r="M56" i="12"/>
  <c r="M57" i="12" s="1"/>
  <c r="M50" i="12"/>
  <c r="N55" i="12" l="1"/>
  <c r="N53" i="12"/>
  <c r="M44" i="12"/>
  <c r="N39" i="12" s="1"/>
  <c r="N13" i="12" s="1"/>
  <c r="M29" i="12"/>
  <c r="M33" i="12" s="1"/>
  <c r="N28" i="12" s="1"/>
  <c r="N12" i="12" s="1"/>
  <c r="M22" i="12"/>
  <c r="M58" i="12"/>
  <c r="M59" i="12" s="1"/>
  <c r="M62" i="12"/>
  <c r="N54" i="12"/>
  <c r="N60" i="12" s="1"/>
  <c r="N41" i="12" l="1"/>
  <c r="N43" i="12"/>
  <c r="N46" i="12"/>
  <c r="N42" i="12"/>
  <c r="N61" i="12"/>
  <c r="N50" i="12"/>
  <c r="N17" i="12"/>
  <c r="N11" i="12" s="1"/>
  <c r="N56" i="12"/>
  <c r="N57" i="12" s="1"/>
  <c r="N35" i="12"/>
  <c r="N30" i="12"/>
  <c r="N32" i="12"/>
  <c r="O55" i="12" s="1"/>
  <c r="N31" i="12"/>
  <c r="N52" i="12"/>
  <c r="N62" i="12" l="1"/>
  <c r="N58" i="12"/>
  <c r="N59" i="12" s="1"/>
  <c r="N18" i="12"/>
  <c r="N19" i="12"/>
  <c r="N20" i="12"/>
  <c r="O54" i="12" s="1"/>
  <c r="N24" i="12"/>
  <c r="O51" i="12"/>
  <c r="N21" i="12"/>
  <c r="O53" i="12" l="1"/>
  <c r="O61" i="12" s="1"/>
  <c r="N22" i="12"/>
  <c r="N29" i="12" l="1"/>
  <c r="O17" i="12"/>
  <c r="O11" i="12" s="1"/>
  <c r="N40" i="12"/>
  <c r="N44" i="12" s="1"/>
  <c r="O39" i="12" s="1"/>
  <c r="O13" i="12" s="1"/>
  <c r="O60" i="12"/>
  <c r="O41" i="12" l="1"/>
  <c r="C41" i="12" s="1"/>
  <c r="O43" i="12"/>
  <c r="C43" i="12" s="1"/>
  <c r="O42" i="12"/>
  <c r="C42" i="12" s="1"/>
  <c r="C39" i="12"/>
  <c r="O46" i="12"/>
  <c r="C46" i="12" s="1"/>
  <c r="O20" i="12"/>
  <c r="O24" i="12"/>
  <c r="C24" i="12" s="1"/>
  <c r="O19" i="12"/>
  <c r="O21" i="12"/>
  <c r="C21" i="12" s="1"/>
  <c r="C17" i="12"/>
  <c r="N33" i="12"/>
  <c r="O52" i="12"/>
  <c r="C20" i="12" l="1"/>
  <c r="C19" i="12"/>
  <c r="O18" i="12"/>
  <c r="C11" i="12"/>
  <c r="O58" i="12"/>
  <c r="O59" i="12" s="1"/>
  <c r="O62" i="12"/>
  <c r="O28" i="12"/>
  <c r="O12" i="12" s="1"/>
  <c r="O56" i="12"/>
  <c r="O50" i="12"/>
  <c r="C18" i="12" l="1"/>
  <c r="C28" i="12"/>
  <c r="O30" i="12"/>
  <c r="O31" i="12"/>
  <c r="O35" i="12"/>
  <c r="C35" i="12" s="1"/>
  <c r="O32" i="12"/>
  <c r="O22" i="12" s="1"/>
  <c r="P51" i="12"/>
  <c r="O40" i="12"/>
  <c r="C13" i="12"/>
  <c r="E5" i="3"/>
  <c r="O57" i="12"/>
  <c r="C22" i="12" l="1"/>
  <c r="P17" i="12"/>
  <c r="P11" i="12" s="1"/>
  <c r="O29" i="12"/>
  <c r="C12" i="12"/>
  <c r="C31" i="12"/>
  <c r="P54" i="12"/>
  <c r="C54" i="12" s="1"/>
  <c r="E10" i="3"/>
  <c r="E9" i="3"/>
  <c r="E11" i="3"/>
  <c r="E24" i="3"/>
  <c r="E7" i="3"/>
  <c r="E8" i="3" s="1"/>
  <c r="C6" i="13" s="1"/>
  <c r="C65" i="13" s="1"/>
  <c r="E25" i="3"/>
  <c r="E6" i="3"/>
  <c r="E31" i="3" s="1"/>
  <c r="E16" i="3"/>
  <c r="E23" i="3" s="1"/>
  <c r="C40" i="12"/>
  <c r="O44" i="12"/>
  <c r="C32" i="12"/>
  <c r="P55" i="12"/>
  <c r="C55" i="12" s="1"/>
  <c r="C30" i="12"/>
  <c r="P53" i="12"/>
  <c r="C53" i="12" s="1"/>
  <c r="C51" i="12"/>
  <c r="P60" i="12"/>
  <c r="C60" i="12" s="1"/>
  <c r="E12" i="3" l="1"/>
  <c r="E13" i="3" s="1"/>
  <c r="E14" i="3" s="1"/>
  <c r="E33" i="3" s="1"/>
  <c r="C5" i="13"/>
  <c r="C64" i="13" s="1"/>
  <c r="C24" i="13"/>
  <c r="C17" i="13"/>
  <c r="C20" i="13"/>
  <c r="C14" i="13"/>
  <c r="C18" i="13"/>
  <c r="C22" i="13"/>
  <c r="C7" i="13"/>
  <c r="C21" i="13"/>
  <c r="C16" i="13"/>
  <c r="C25" i="13"/>
  <c r="C19" i="13"/>
  <c r="C15" i="13"/>
  <c r="C23" i="13"/>
  <c r="C29" i="12"/>
  <c r="P52" i="12"/>
  <c r="O33" i="12"/>
  <c r="P18" i="12"/>
  <c r="P20" i="12"/>
  <c r="P24" i="12"/>
  <c r="P19" i="12"/>
  <c r="P21" i="12"/>
  <c r="C44" i="12"/>
  <c r="P39" i="12"/>
  <c r="P13" i="12" s="1"/>
  <c r="P61" i="12"/>
  <c r="C61" i="12" s="1"/>
  <c r="C61" i="13" l="1"/>
  <c r="E17" i="3"/>
  <c r="E18" i="3" s="1"/>
  <c r="E19" i="3" s="1"/>
  <c r="E22" i="3" s="1"/>
  <c r="E26" i="3" s="1"/>
  <c r="E27" i="3" s="1"/>
  <c r="E32" i="3" s="1"/>
  <c r="E34" i="3" s="1"/>
  <c r="E35" i="3" s="1"/>
  <c r="P40" i="12"/>
  <c r="C44" i="13"/>
  <c r="C29" i="13"/>
  <c r="E44" i="13"/>
  <c r="E51" i="13"/>
  <c r="C51" i="13"/>
  <c r="C36" i="13"/>
  <c r="E48" i="13"/>
  <c r="C48" i="13"/>
  <c r="C33" i="13"/>
  <c r="C52" i="12"/>
  <c r="P58" i="12"/>
  <c r="P62" i="12"/>
  <c r="C62" i="12" s="1"/>
  <c r="C50" i="13"/>
  <c r="E50" i="13"/>
  <c r="C35" i="13"/>
  <c r="M36" i="13"/>
  <c r="M51" i="13" s="1"/>
  <c r="M40" i="13"/>
  <c r="M55" i="13" s="1"/>
  <c r="I30" i="13"/>
  <c r="I45" i="13" s="1"/>
  <c r="O31" i="13"/>
  <c r="O46" i="13" s="1"/>
  <c r="P34" i="13"/>
  <c r="P49" i="13" s="1"/>
  <c r="C67" i="13"/>
  <c r="C68" i="13" s="1"/>
  <c r="L37" i="13"/>
  <c r="L52" i="13" s="1"/>
  <c r="G30" i="13"/>
  <c r="G45" i="13" s="1"/>
  <c r="O29" i="13"/>
  <c r="O44" i="13" s="1"/>
  <c r="Q38" i="13"/>
  <c r="Q53" i="13" s="1"/>
  <c r="J40" i="13"/>
  <c r="J55" i="13" s="1"/>
  <c r="G37" i="13"/>
  <c r="G52" i="13" s="1"/>
  <c r="G39" i="13"/>
  <c r="G54" i="13" s="1"/>
  <c r="I35" i="13"/>
  <c r="I50" i="13" s="1"/>
  <c r="O36" i="13"/>
  <c r="O51" i="13" s="1"/>
  <c r="G29" i="13"/>
  <c r="G44" i="13" s="1"/>
  <c r="F36" i="13"/>
  <c r="F51" i="13" s="1"/>
  <c r="K29" i="13"/>
  <c r="K44" i="13" s="1"/>
  <c r="H32" i="13"/>
  <c r="H47" i="13" s="1"/>
  <c r="K36" i="13"/>
  <c r="K51" i="13" s="1"/>
  <c r="G31" i="13"/>
  <c r="G46" i="13" s="1"/>
  <c r="Q37" i="13"/>
  <c r="Q52" i="13" s="1"/>
  <c r="K40" i="13"/>
  <c r="K55" i="13" s="1"/>
  <c r="I32" i="13"/>
  <c r="I47" i="13" s="1"/>
  <c r="I38" i="13"/>
  <c r="I53" i="13" s="1"/>
  <c r="J38" i="13"/>
  <c r="J53" i="13" s="1"/>
  <c r="N36" i="13"/>
  <c r="N51" i="13" s="1"/>
  <c r="O32" i="13"/>
  <c r="O47" i="13" s="1"/>
  <c r="P31" i="13"/>
  <c r="P46" i="13" s="1"/>
  <c r="G40" i="13"/>
  <c r="G55" i="13" s="1"/>
  <c r="N37" i="13"/>
  <c r="N52" i="13" s="1"/>
  <c r="H36" i="13"/>
  <c r="H51" i="13" s="1"/>
  <c r="K39" i="13"/>
  <c r="K54" i="13" s="1"/>
  <c r="O37" i="13"/>
  <c r="O52" i="13" s="1"/>
  <c r="J34" i="13"/>
  <c r="J49" i="13" s="1"/>
  <c r="I39" i="13"/>
  <c r="I54" i="13" s="1"/>
  <c r="C66" i="13"/>
  <c r="L34" i="13"/>
  <c r="L49" i="13" s="1"/>
  <c r="L39" i="13"/>
  <c r="L54" i="13" s="1"/>
  <c r="L30" i="13"/>
  <c r="L45" i="13" s="1"/>
  <c r="J32" i="13"/>
  <c r="J47" i="13" s="1"/>
  <c r="F37" i="13"/>
  <c r="F52" i="13" s="1"/>
  <c r="O39" i="13"/>
  <c r="O54" i="13" s="1"/>
  <c r="I34" i="13"/>
  <c r="I49" i="13" s="1"/>
  <c r="J35" i="13"/>
  <c r="J50" i="13" s="1"/>
  <c r="M34" i="13"/>
  <c r="M49" i="13" s="1"/>
  <c r="Q31" i="13"/>
  <c r="Q46" i="13" s="1"/>
  <c r="H35" i="13"/>
  <c r="H50" i="13" s="1"/>
  <c r="Q29" i="13"/>
  <c r="Q44" i="13" s="1"/>
  <c r="M37" i="13"/>
  <c r="M52" i="13" s="1"/>
  <c r="K31" i="13"/>
  <c r="K46" i="13" s="1"/>
  <c r="J36" i="13"/>
  <c r="J51" i="13" s="1"/>
  <c r="M38" i="13"/>
  <c r="M53" i="13" s="1"/>
  <c r="G34" i="13"/>
  <c r="G49" i="13" s="1"/>
  <c r="L38" i="13"/>
  <c r="L53" i="13" s="1"/>
  <c r="L33" i="13"/>
  <c r="L48" i="13" s="1"/>
  <c r="P38" i="13"/>
  <c r="P53" i="13" s="1"/>
  <c r="Q34" i="13"/>
  <c r="Q49" i="13" s="1"/>
  <c r="Q39" i="13"/>
  <c r="Q54" i="13" s="1"/>
  <c r="P32" i="13"/>
  <c r="P47" i="13" s="1"/>
  <c r="J39" i="13"/>
  <c r="J54" i="13" s="1"/>
  <c r="N34" i="13"/>
  <c r="N49" i="13" s="1"/>
  <c r="F40" i="13"/>
  <c r="F55" i="13" s="1"/>
  <c r="F34" i="13"/>
  <c r="F49" i="13" s="1"/>
  <c r="I40" i="13"/>
  <c r="I55" i="13" s="1"/>
  <c r="P35" i="13"/>
  <c r="P50" i="13" s="1"/>
  <c r="P29" i="13"/>
  <c r="P44" i="13" s="1"/>
  <c r="P36" i="13"/>
  <c r="P51" i="13" s="1"/>
  <c r="N30" i="13"/>
  <c r="N45" i="13" s="1"/>
  <c r="N33" i="13"/>
  <c r="N48" i="13" s="1"/>
  <c r="N35" i="13"/>
  <c r="N50" i="13" s="1"/>
  <c r="H33" i="13"/>
  <c r="H48" i="13" s="1"/>
  <c r="M32" i="13"/>
  <c r="M47" i="13" s="1"/>
  <c r="O33" i="13"/>
  <c r="O48" i="13" s="1"/>
  <c r="I36" i="13"/>
  <c r="I51" i="13" s="1"/>
  <c r="F38" i="13"/>
  <c r="F53" i="13" s="1"/>
  <c r="H39" i="13"/>
  <c r="H54" i="13" s="1"/>
  <c r="P30" i="13"/>
  <c r="P45" i="13" s="1"/>
  <c r="K37" i="13"/>
  <c r="K52" i="13" s="1"/>
  <c r="F29" i="13"/>
  <c r="F44" i="13" s="1"/>
  <c r="J33" i="13"/>
  <c r="J48" i="13" s="1"/>
  <c r="H29" i="13"/>
  <c r="H44" i="13" s="1"/>
  <c r="I29" i="13"/>
  <c r="I44" i="13" s="1"/>
  <c r="H30" i="13"/>
  <c r="H45" i="13" s="1"/>
  <c r="Q30" i="13"/>
  <c r="Q45" i="13" s="1"/>
  <c r="N39" i="13"/>
  <c r="N54" i="13" s="1"/>
  <c r="K33" i="13"/>
  <c r="K48" i="13" s="1"/>
  <c r="M30" i="13"/>
  <c r="M45" i="13" s="1"/>
  <c r="J29" i="13"/>
  <c r="J44" i="13" s="1"/>
  <c r="F31" i="13"/>
  <c r="F46" i="13" s="1"/>
  <c r="P37" i="13"/>
  <c r="P52" i="13" s="1"/>
  <c r="F33" i="13"/>
  <c r="F48" i="13" s="1"/>
  <c r="F30" i="13"/>
  <c r="F45" i="13" s="1"/>
  <c r="G38" i="13"/>
  <c r="G53" i="13" s="1"/>
  <c r="Q40" i="13"/>
  <c r="Q55" i="13" s="1"/>
  <c r="I37" i="13"/>
  <c r="I52" i="13" s="1"/>
  <c r="M35" i="13"/>
  <c r="M50" i="13" s="1"/>
  <c r="N31" i="13"/>
  <c r="N46" i="13" s="1"/>
  <c r="O30" i="13"/>
  <c r="O45" i="13" s="1"/>
  <c r="Q33" i="13"/>
  <c r="Q48" i="13" s="1"/>
  <c r="L29" i="13"/>
  <c r="L44" i="13" s="1"/>
  <c r="N38" i="13"/>
  <c r="N53" i="13" s="1"/>
  <c r="N40" i="13"/>
  <c r="N55" i="13" s="1"/>
  <c r="H37" i="13"/>
  <c r="H52" i="13" s="1"/>
  <c r="K34" i="13"/>
  <c r="K49" i="13" s="1"/>
  <c r="I31" i="13"/>
  <c r="I46" i="13" s="1"/>
  <c r="P39" i="13"/>
  <c r="P54" i="13" s="1"/>
  <c r="N29" i="13"/>
  <c r="N44" i="13" s="1"/>
  <c r="Q36" i="13"/>
  <c r="Q51" i="13" s="1"/>
  <c r="N32" i="13"/>
  <c r="N47" i="13" s="1"/>
  <c r="M33" i="13"/>
  <c r="M48" i="13" s="1"/>
  <c r="O38" i="13"/>
  <c r="O53" i="13" s="1"/>
  <c r="F32" i="13"/>
  <c r="F47" i="13" s="1"/>
  <c r="J30" i="13"/>
  <c r="J45" i="13" s="1"/>
  <c r="H40" i="13"/>
  <c r="H55" i="13" s="1"/>
  <c r="G35" i="13"/>
  <c r="G50" i="13" s="1"/>
  <c r="H31" i="13"/>
  <c r="H46" i="13" s="1"/>
  <c r="G33" i="13"/>
  <c r="G48" i="13" s="1"/>
  <c r="O35" i="13"/>
  <c r="O50" i="13" s="1"/>
  <c r="L35" i="13"/>
  <c r="L50" i="13" s="1"/>
  <c r="M31" i="13"/>
  <c r="M46" i="13" s="1"/>
  <c r="L40" i="13"/>
  <c r="L55" i="13" s="1"/>
  <c r="G36" i="13"/>
  <c r="G51" i="13" s="1"/>
  <c r="F39" i="13"/>
  <c r="F54" i="13" s="1"/>
  <c r="F35" i="13"/>
  <c r="F50" i="13" s="1"/>
  <c r="P33" i="13"/>
  <c r="P48" i="13" s="1"/>
  <c r="G32" i="13"/>
  <c r="G47" i="13" s="1"/>
  <c r="M39" i="13"/>
  <c r="M54" i="13" s="1"/>
  <c r="O34" i="13"/>
  <c r="O49" i="13" s="1"/>
  <c r="L31" i="13"/>
  <c r="L46" i="13" s="1"/>
  <c r="K30" i="13"/>
  <c r="K45" i="13" s="1"/>
  <c r="H38" i="13"/>
  <c r="H53" i="13" s="1"/>
  <c r="K38" i="13"/>
  <c r="K53" i="13" s="1"/>
  <c r="P40" i="13"/>
  <c r="P55" i="13" s="1"/>
  <c r="Q35" i="13"/>
  <c r="Q50" i="13" s="1"/>
  <c r="O40" i="13"/>
  <c r="O55" i="13" s="1"/>
  <c r="M29" i="13"/>
  <c r="M44" i="13" s="1"/>
  <c r="H34" i="13"/>
  <c r="H49" i="13" s="1"/>
  <c r="I33" i="13"/>
  <c r="I48" i="13" s="1"/>
  <c r="K35" i="13"/>
  <c r="K50" i="13" s="1"/>
  <c r="J37" i="13"/>
  <c r="J52" i="13" s="1"/>
  <c r="Q32" i="13"/>
  <c r="Q47" i="13" s="1"/>
  <c r="K32" i="13"/>
  <c r="K47" i="13" s="1"/>
  <c r="L32" i="13"/>
  <c r="L47" i="13" s="1"/>
  <c r="J31" i="13"/>
  <c r="J46" i="13" s="1"/>
  <c r="L36" i="13"/>
  <c r="L51" i="13" s="1"/>
  <c r="C33" i="12"/>
  <c r="P28" i="12"/>
  <c r="P12" i="12" s="1"/>
  <c r="P50" i="12"/>
  <c r="C50" i="12" s="1"/>
  <c r="P56" i="12"/>
  <c r="P41" i="12"/>
  <c r="P42" i="12"/>
  <c r="P46" i="12"/>
  <c r="P43" i="12"/>
  <c r="C47" i="13"/>
  <c r="C32" i="13"/>
  <c r="E47" i="13"/>
  <c r="E53" i="13"/>
  <c r="C38" i="13"/>
  <c r="C53" i="13"/>
  <c r="E54" i="13"/>
  <c r="C54" i="13"/>
  <c r="C39" i="13"/>
  <c r="C31" i="13"/>
  <c r="C46" i="13"/>
  <c r="E46" i="13"/>
  <c r="C30" i="13"/>
  <c r="E45" i="13"/>
  <c r="C45" i="13"/>
  <c r="C69" i="13"/>
  <c r="E52" i="13"/>
  <c r="C37" i="13"/>
  <c r="C52" i="13"/>
  <c r="C34" i="13"/>
  <c r="C49" i="13"/>
  <c r="E49" i="13"/>
  <c r="C40" i="13"/>
  <c r="E55" i="13"/>
  <c r="C55" i="13"/>
  <c r="P29" i="12" l="1"/>
  <c r="Q52" i="12" s="1"/>
  <c r="D53" i="13"/>
  <c r="D48" i="13"/>
  <c r="P30" i="12"/>
  <c r="Q53" i="12" s="1"/>
  <c r="P31" i="12"/>
  <c r="P35" i="12"/>
  <c r="P32" i="12"/>
  <c r="Q51" i="12"/>
  <c r="D47" i="13"/>
  <c r="D51" i="13"/>
  <c r="D44" i="13"/>
  <c r="D50" i="13"/>
  <c r="D49" i="13"/>
  <c r="D45" i="13"/>
  <c r="D55" i="13"/>
  <c r="P59" i="12"/>
  <c r="C59" i="12" s="1"/>
  <c r="C58" i="12"/>
  <c r="D46" i="13"/>
  <c r="P57" i="12"/>
  <c r="C57" i="12" s="1"/>
  <c r="C56" i="12"/>
  <c r="D54" i="13"/>
  <c r="D52" i="13"/>
  <c r="P33" i="12" l="1"/>
  <c r="Q28" i="12" s="1"/>
  <c r="Q12" i="12" s="1"/>
  <c r="Q55" i="12"/>
  <c r="P22" i="12"/>
  <c r="P44" i="12"/>
  <c r="Q39" i="12" s="1"/>
  <c r="Q13" i="12" s="1"/>
  <c r="Q54" i="12"/>
  <c r="C73" i="13"/>
  <c r="C74" i="13" s="1"/>
  <c r="C9" i="13"/>
  <c r="C8" i="13"/>
  <c r="Q35" i="12" l="1"/>
  <c r="Q32" i="12"/>
  <c r="Q30" i="12"/>
  <c r="Q31" i="12"/>
  <c r="Q58" i="12"/>
  <c r="Q59" i="12" s="1"/>
  <c r="Q60" i="12"/>
  <c r="Q41" i="12"/>
  <c r="Q43" i="12"/>
  <c r="R55" i="12" s="1"/>
  <c r="Q42" i="12"/>
  <c r="Q46" i="12"/>
  <c r="Q62" i="12"/>
  <c r="Q17" i="12"/>
  <c r="Q11" i="12" s="1"/>
  <c r="Q50" i="12"/>
  <c r="Q56" i="12"/>
  <c r="Q57" i="12" s="1"/>
  <c r="Q61" i="12"/>
  <c r="C75" i="13"/>
  <c r="C76" i="13" s="1"/>
  <c r="C78" i="13" s="1"/>
  <c r="D14" i="13"/>
  <c r="C60" i="13"/>
  <c r="C62" i="13" s="1"/>
  <c r="Q18" i="12" l="1"/>
  <c r="Q20" i="12"/>
  <c r="R54" i="12" s="1"/>
  <c r="Q24" i="12"/>
  <c r="Q19" i="12"/>
  <c r="Q21" i="12"/>
  <c r="R51" i="12"/>
  <c r="C71" i="13"/>
  <c r="C70" i="13"/>
  <c r="Q22" i="12" l="1"/>
  <c r="R17" i="12" s="1"/>
  <c r="R11" i="12" s="1"/>
  <c r="R53" i="12"/>
  <c r="R61" i="12" s="1"/>
  <c r="Q40" i="12"/>
  <c r="Q44" i="12" s="1"/>
  <c r="R39" i="12" s="1"/>
  <c r="R13" i="12" s="1"/>
  <c r="Q29" i="12"/>
  <c r="Q33" i="12" s="1"/>
  <c r="R28" i="12" s="1"/>
  <c r="R12" i="12" s="1"/>
  <c r="R32" i="12" l="1"/>
  <c r="R35" i="12"/>
  <c r="R31" i="12"/>
  <c r="R30" i="12"/>
  <c r="R43" i="12"/>
  <c r="R42" i="12"/>
  <c r="R41" i="12"/>
  <c r="R46" i="12"/>
  <c r="R18" i="12"/>
  <c r="R20" i="12"/>
  <c r="S54" i="12" s="1"/>
  <c r="S51" i="12"/>
  <c r="R21" i="12"/>
  <c r="R19" i="12"/>
  <c r="R24" i="12"/>
  <c r="R52" i="12"/>
  <c r="R56" i="12"/>
  <c r="R57" i="12" s="1"/>
  <c r="R50" i="12"/>
  <c r="R60" i="12"/>
  <c r="R22" i="12" l="1"/>
  <c r="S17" i="12" s="1"/>
  <c r="S11" i="12" s="1"/>
  <c r="R58" i="12"/>
  <c r="R59" i="12" s="1"/>
  <c r="R62" i="12"/>
  <c r="S53" i="12"/>
  <c r="R40" i="12"/>
  <c r="R44" i="12" s="1"/>
  <c r="S39" i="12" s="1"/>
  <c r="S13" i="12" s="1"/>
  <c r="R29" i="12"/>
  <c r="R33" i="12" s="1"/>
  <c r="S28" i="12" s="1"/>
  <c r="S12" i="12" s="1"/>
  <c r="S55" i="12"/>
  <c r="S52" i="12" l="1"/>
  <c r="S58" i="12" s="1"/>
  <c r="S59" i="12" s="1"/>
  <c r="S61" i="12"/>
  <c r="S42" i="12"/>
  <c r="S41" i="12"/>
  <c r="S43" i="12"/>
  <c r="S46" i="12"/>
  <c r="S60" i="12"/>
  <c r="S35" i="12"/>
  <c r="S32" i="12"/>
  <c r="T55" i="12" s="1"/>
  <c r="S30" i="12"/>
  <c r="S31" i="12"/>
  <c r="S56" i="12"/>
  <c r="S57" i="12" s="1"/>
  <c r="S18" i="12"/>
  <c r="S24" i="12"/>
  <c r="S19" i="12"/>
  <c r="S21" i="12"/>
  <c r="S20" i="12"/>
  <c r="T51" i="12"/>
  <c r="S50" i="12"/>
  <c r="S62" i="12" l="1"/>
  <c r="S22" i="12"/>
  <c r="T53" i="12"/>
  <c r="S40" i="12"/>
  <c r="S44" i="12" s="1"/>
  <c r="T39" i="12" s="1"/>
  <c r="T13" i="12" s="1"/>
  <c r="T61" i="12"/>
  <c r="T54" i="12"/>
  <c r="T60" i="12" s="1"/>
  <c r="S29" i="12"/>
  <c r="S33" i="12" s="1"/>
  <c r="T28" i="12" s="1"/>
  <c r="T12" i="12" s="1"/>
  <c r="T32" i="12" l="1"/>
  <c r="T30" i="12"/>
  <c r="T31" i="12"/>
  <c r="T35" i="12"/>
  <c r="T41" i="12"/>
  <c r="T43" i="12"/>
  <c r="T42" i="12"/>
  <c r="T46" i="12"/>
  <c r="T52" i="12"/>
  <c r="T56" i="12"/>
  <c r="T57" i="12" s="1"/>
  <c r="T50" i="12"/>
  <c r="T17" i="12"/>
  <c r="T11" i="12" s="1"/>
  <c r="T62" i="12" l="1"/>
  <c r="T58" i="12"/>
  <c r="T59" i="12" s="1"/>
  <c r="T18" i="12"/>
  <c r="T19" i="12"/>
  <c r="U51" i="12"/>
  <c r="T20" i="12"/>
  <c r="U54" i="12" s="1"/>
  <c r="T24" i="12"/>
  <c r="T21" i="12"/>
  <c r="U55" i="12"/>
  <c r="T22" i="12" l="1"/>
  <c r="U17" i="12" s="1"/>
  <c r="U11" i="12" s="1"/>
  <c r="U53" i="12"/>
  <c r="U60" i="12" s="1"/>
  <c r="T40" i="12"/>
  <c r="T44" i="12" s="1"/>
  <c r="U39" i="12" s="1"/>
  <c r="U13" i="12" s="1"/>
  <c r="T29" i="12"/>
  <c r="T33" i="12" s="1"/>
  <c r="U28" i="12" s="1"/>
  <c r="U12" i="12" s="1"/>
  <c r="U31" i="12" l="1"/>
  <c r="U30" i="12"/>
  <c r="U32" i="12"/>
  <c r="U35" i="12"/>
  <c r="U56" i="12"/>
  <c r="U57" i="12" s="1"/>
  <c r="U42" i="12"/>
  <c r="U46" i="12"/>
  <c r="U43" i="12"/>
  <c r="U41" i="12"/>
  <c r="U52" i="12"/>
  <c r="U61" i="12"/>
  <c r="U50" i="12"/>
  <c r="U18" i="12"/>
  <c r="V51" i="12"/>
  <c r="U21" i="12"/>
  <c r="U20" i="12"/>
  <c r="V54" i="12" s="1"/>
  <c r="U24" i="12"/>
  <c r="U19" i="12"/>
  <c r="U29" i="12" l="1"/>
  <c r="U22" i="12"/>
  <c r="V55" i="12"/>
  <c r="U62" i="12"/>
  <c r="U58" i="12"/>
  <c r="U59" i="12" s="1"/>
  <c r="U40" i="12"/>
  <c r="V53" i="12"/>
  <c r="V61" i="12" s="1"/>
  <c r="U44" i="12"/>
  <c r="V39" i="12" s="1"/>
  <c r="V13" i="12" s="1"/>
  <c r="V60" i="12" l="1"/>
  <c r="V42" i="12"/>
  <c r="V43" i="12"/>
  <c r="V46" i="12"/>
  <c r="V41" i="12"/>
  <c r="V17" i="12"/>
  <c r="V11" i="12" s="1"/>
  <c r="V52" i="12"/>
  <c r="U33" i="12"/>
  <c r="V28" i="12" s="1"/>
  <c r="V12" i="12" s="1"/>
  <c r="V62" i="12" l="1"/>
  <c r="V58" i="12"/>
  <c r="V59" i="12" s="1"/>
  <c r="V30" i="12"/>
  <c r="V31" i="12"/>
  <c r="V32" i="12"/>
  <c r="W55" i="12" s="1"/>
  <c r="V35" i="12"/>
  <c r="V56" i="12"/>
  <c r="V57" i="12" s="1"/>
  <c r="V50" i="12"/>
  <c r="V18" i="12"/>
  <c r="V21" i="12"/>
  <c r="V24" i="12"/>
  <c r="V20" i="12"/>
  <c r="V19" i="12"/>
  <c r="W51" i="12"/>
  <c r="V29" i="12" l="1"/>
  <c r="V33" i="12" s="1"/>
  <c r="W28" i="12" s="1"/>
  <c r="W12" i="12" s="1"/>
  <c r="V22" i="12"/>
  <c r="W53" i="12"/>
  <c r="W61" i="12" s="1"/>
  <c r="V40" i="12"/>
  <c r="W52" i="12" s="1"/>
  <c r="W54" i="12"/>
  <c r="W60" i="12" s="1"/>
  <c r="W58" i="12" l="1"/>
  <c r="W59" i="12" s="1"/>
  <c r="W62" i="12"/>
  <c r="V44" i="12"/>
  <c r="W39" i="12" s="1"/>
  <c r="W13" i="12" s="1"/>
  <c r="W17" i="12"/>
  <c r="W11" i="12" s="1"/>
  <c r="W32" i="12"/>
  <c r="W30" i="12"/>
  <c r="W35" i="12"/>
  <c r="W31" i="12"/>
  <c r="W56" i="12" l="1"/>
  <c r="W57" i="12" s="1"/>
  <c r="W43" i="12"/>
  <c r="W41" i="12"/>
  <c r="W42" i="12"/>
  <c r="W46" i="12"/>
  <c r="X55" i="12"/>
  <c r="W50" i="12"/>
  <c r="W18" i="12"/>
  <c r="W24" i="12"/>
  <c r="W19" i="12"/>
  <c r="X51" i="12"/>
  <c r="W20" i="12"/>
  <c r="X54" i="12" s="1"/>
  <c r="W21" i="12"/>
  <c r="W29" i="12" l="1"/>
  <c r="W33" i="12" s="1"/>
  <c r="X28" i="12" s="1"/>
  <c r="X12" i="12" s="1"/>
  <c r="W22" i="12"/>
  <c r="X53" i="12"/>
  <c r="X61" i="12" s="1"/>
  <c r="W40" i="12"/>
  <c r="W44" i="12" s="1"/>
  <c r="X39" i="12" s="1"/>
  <c r="X13" i="12" s="1"/>
  <c r="X46" i="12" l="1"/>
  <c r="X41" i="12"/>
  <c r="X43" i="12"/>
  <c r="X42" i="12"/>
  <c r="X50" i="12"/>
  <c r="X56" i="12"/>
  <c r="X57" i="12" s="1"/>
  <c r="X17" i="12"/>
  <c r="X11" i="12" s="1"/>
  <c r="X30" i="12"/>
  <c r="X31" i="12"/>
  <c r="X32" i="12"/>
  <c r="Y55" i="12" s="1"/>
  <c r="X35" i="12"/>
  <c r="X52" i="12"/>
  <c r="X60" i="12"/>
  <c r="X18" i="12" l="1"/>
  <c r="X21" i="12"/>
  <c r="X20" i="12"/>
  <c r="Y54" i="12" s="1"/>
  <c r="Y51" i="12"/>
  <c r="X24" i="12"/>
  <c r="X19" i="12"/>
  <c r="X62" i="12"/>
  <c r="X58" i="12"/>
  <c r="X59" i="12" s="1"/>
  <c r="X22" i="12" l="1"/>
  <c r="Y17" i="12" s="1"/>
  <c r="Y11" i="12" s="1"/>
  <c r="Y53" i="12"/>
  <c r="Y61" i="12" s="1"/>
  <c r="X40" i="12"/>
  <c r="X44" i="12" s="1"/>
  <c r="Y39" i="12" s="1"/>
  <c r="Y13" i="12" s="1"/>
  <c r="X29" i="12"/>
  <c r="X33" i="12" s="1"/>
  <c r="Y28" i="12" s="1"/>
  <c r="Y12" i="12" s="1"/>
  <c r="Y60" i="12" l="1"/>
  <c r="Y52" i="12"/>
  <c r="Y50" i="12"/>
  <c r="Y46" i="12"/>
  <c r="Y41" i="12"/>
  <c r="Y43" i="12"/>
  <c r="Y42" i="12"/>
  <c r="Y35" i="12"/>
  <c r="Y30" i="12"/>
  <c r="Y32" i="12"/>
  <c r="Y31" i="12"/>
  <c r="Y56" i="12"/>
  <c r="Y57" i="12" s="1"/>
  <c r="Y18" i="12"/>
  <c r="Y20" i="12"/>
  <c r="Y24" i="12"/>
  <c r="Z51" i="12"/>
  <c r="Y19" i="12"/>
  <c r="Y21" i="12"/>
  <c r="Z55" i="12" l="1"/>
  <c r="Z53" i="12"/>
  <c r="Z61" i="12" s="1"/>
  <c r="Y40" i="12"/>
  <c r="Z54" i="12"/>
  <c r="Y44" i="12"/>
  <c r="Z39" i="12" s="1"/>
  <c r="Z13" i="12" s="1"/>
  <c r="Y29" i="12"/>
  <c r="Y33" i="12" s="1"/>
  <c r="Z28" i="12" s="1"/>
  <c r="Z12" i="12" s="1"/>
  <c r="Y22" i="12"/>
  <c r="Y58" i="12"/>
  <c r="Y59" i="12" s="1"/>
  <c r="Y62" i="12"/>
  <c r="Z60" i="12" l="1"/>
  <c r="Z56" i="12"/>
  <c r="Z57" i="12" s="1"/>
  <c r="Z17" i="12"/>
  <c r="Z11" i="12" s="1"/>
  <c r="Z50" i="12"/>
  <c r="Z41" i="12"/>
  <c r="Z46" i="12"/>
  <c r="Z42" i="12"/>
  <c r="Z43" i="12"/>
  <c r="Z32" i="12"/>
  <c r="Z35" i="12"/>
  <c r="Z31" i="12"/>
  <c r="Z30" i="12"/>
  <c r="Z52" i="12"/>
  <c r="AA55" i="12" l="1"/>
  <c r="Z18" i="12"/>
  <c r="AA51" i="12"/>
  <c r="Z21" i="12"/>
  <c r="Z20" i="12"/>
  <c r="AA54" i="12" s="1"/>
  <c r="Z24" i="12"/>
  <c r="Z19" i="12"/>
  <c r="Z62" i="12"/>
  <c r="Z58" i="12"/>
  <c r="Z59" i="12" s="1"/>
  <c r="AA53" i="12" l="1"/>
  <c r="AA61" i="12" s="1"/>
  <c r="Z40" i="12"/>
  <c r="Z44" i="12" s="1"/>
  <c r="AA39" i="12" s="1"/>
  <c r="AA13" i="12" s="1"/>
  <c r="Z29" i="12"/>
  <c r="Z33" i="12" s="1"/>
  <c r="AA28" i="12" s="1"/>
  <c r="AA12" i="12" s="1"/>
  <c r="Z22" i="12"/>
  <c r="AA60" i="12" l="1"/>
  <c r="AA17" i="12"/>
  <c r="AA11" i="12" s="1"/>
  <c r="AA56" i="12"/>
  <c r="AA50" i="12"/>
  <c r="AA41" i="12"/>
  <c r="AA42" i="12"/>
  <c r="AA43" i="12"/>
  <c r="AA46" i="12"/>
  <c r="AA32" i="12"/>
  <c r="AA30" i="12"/>
  <c r="AA35" i="12"/>
  <c r="AA31" i="12"/>
  <c r="AA52" i="12"/>
  <c r="F5" i="3" l="1"/>
  <c r="D8" i="8" s="1"/>
  <c r="AA57" i="12"/>
  <c r="AA62" i="12"/>
  <c r="AA58" i="12"/>
  <c r="AA59" i="12" s="1"/>
  <c r="AA18" i="12"/>
  <c r="AA21" i="12"/>
  <c r="AA20" i="12"/>
  <c r="AA24" i="12"/>
  <c r="AA19" i="12"/>
  <c r="AA40" i="12" s="1"/>
  <c r="AA44" i="12" s="1"/>
  <c r="C25" i="4" l="1"/>
  <c r="C15" i="4"/>
  <c r="AA29" i="12"/>
  <c r="AA22" i="12"/>
  <c r="AA33" i="12"/>
  <c r="F11" i="3"/>
  <c r="F16" i="3"/>
  <c r="F23" i="3" s="1"/>
  <c r="F24" i="3"/>
  <c r="F6" i="3"/>
  <c r="F31" i="3" s="1"/>
  <c r="F7" i="3"/>
  <c r="F8" i="3" s="1"/>
  <c r="F10" i="3"/>
  <c r="F25" i="3"/>
  <c r="F9" i="3"/>
  <c r="G5" i="3"/>
  <c r="F12" i="3" l="1"/>
  <c r="F13" i="3" s="1"/>
  <c r="C27" i="4"/>
  <c r="G11" i="3"/>
  <c r="G6" i="3"/>
  <c r="G31" i="3" s="1"/>
  <c r="G25" i="3"/>
  <c r="G7" i="3"/>
  <c r="G8" i="3" s="1"/>
  <c r="G24" i="3"/>
  <c r="G10" i="3"/>
  <c r="G9" i="3"/>
  <c r="G16" i="3"/>
  <c r="G23" i="3" s="1"/>
  <c r="C17" i="4"/>
  <c r="F14" i="3"/>
  <c r="F33" i="3" s="1"/>
  <c r="C39" i="4" l="1"/>
  <c r="E39" i="4" s="1"/>
  <c r="C31" i="4"/>
  <c r="F17" i="3"/>
  <c r="F18" i="3" s="1"/>
  <c r="F19" i="3" s="1"/>
  <c r="F22" i="3" s="1"/>
  <c r="F26" i="3" s="1"/>
  <c r="C19" i="4"/>
  <c r="G12" i="3"/>
  <c r="G13" i="3" s="1"/>
  <c r="C32" i="4" l="1"/>
  <c r="C30" i="4" s="1"/>
  <c r="C14" i="5" s="1"/>
  <c r="C5" i="5"/>
  <c r="F27" i="3"/>
  <c r="F32" i="3" s="1"/>
  <c r="F34" i="3" s="1"/>
  <c r="F35" i="3" s="1"/>
  <c r="C7" i="4"/>
  <c r="C8" i="4" s="1"/>
  <c r="C33" i="4"/>
  <c r="C8" i="5" s="1"/>
  <c r="C20" i="4"/>
  <c r="C21" i="4" s="1"/>
  <c r="C38" i="4" s="1"/>
  <c r="E38" i="4" s="1"/>
  <c r="G14" i="3"/>
  <c r="G33" i="3" s="1"/>
  <c r="G17" i="3"/>
  <c r="G18" i="3" s="1"/>
  <c r="G19" i="3" s="1"/>
  <c r="G22" i="3" s="1"/>
  <c r="G26" i="3" s="1"/>
  <c r="C7" i="5" l="1"/>
  <c r="C14" i="7"/>
  <c r="C10" i="5"/>
  <c r="G27" i="3"/>
  <c r="G32" i="3" s="1"/>
  <c r="G34" i="3" s="1"/>
  <c r="G35" i="3" s="1"/>
  <c r="C10" i="4"/>
  <c r="C9" i="4"/>
  <c r="C17" i="5" l="1"/>
  <c r="C18" i="5" s="1"/>
  <c r="C20" i="5" s="1"/>
  <c r="C16" i="7"/>
  <c r="C11" i="4"/>
  <c r="C19" i="5"/>
  <c r="C37" i="4"/>
  <c r="E37" i="4" s="1"/>
  <c r="E4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G40" authorId="0" shapeId="0" xr:uid="{B8CADA3F-6492-4B86-9C51-1C52B50AE008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=D36+D38*D37</t>
        </r>
      </text>
    </comment>
    <comment ref="G43" authorId="0" shapeId="0" xr:uid="{D7ADF449-9632-4A1C-9F22-3AF9A83DED12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=D40*(1-D41)</t>
        </r>
      </text>
    </comment>
    <comment ref="G46" authorId="0" shapeId="0" xr:uid="{6F78A2B8-876B-4666-8B1E-902A2CE261F3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=D39*D43+D42*D44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B29" authorId="0" shapeId="0" xr:uid="{96B888F3-D82F-47C2-83E0-E8AB75F385E3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FCF margin is used (not EBITDA) as it captures real cash economics — avoids D&amp;A flattery and stock comp distortion common in early-stage SaaS. EBITDA margin shown for reference.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C4" authorId="0" shapeId="0" xr:uid="{1CA26BF8-D729-4748-92E7-25EC8A8B648C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Average Revenue Per Unit</t>
        </r>
      </text>
    </comment>
    <comment ref="B24" authorId="0" shapeId="0" xr:uid="{BB848D5A-11F4-4965-B82C-257996CCB46E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Charged at the beginning of each month</t>
        </r>
      </text>
    </comment>
    <comment ref="B59" authorId="0" shapeId="0" xr:uid="{83073259-8644-46AD-8AA9-0296D37F5831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Fluctuating values of MRR Change due to round() in hardcoded values of Table 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B3" authorId="0" shapeId="0" xr:uid="{3D1ADEAD-62CD-4E91-BC1D-AEAD62605EF2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Currently, a simple analysis with blended ARPU, fixed gross margin and fixed churn rate. Can be further enhanced for respective product tier, dynamic gross margins and dynamic churn rate.</t>
        </r>
      </text>
    </comment>
    <comment ref="D10" authorId="0" shapeId="0" xr:uid="{056F228E-E6C5-4829-AAC5-7B2E3C51D544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High discount rate for startups</t>
        </r>
      </text>
    </comment>
    <comment ref="B27" authorId="0" shapeId="0" xr:uid="{5FF76C27-FD57-418E-94D0-C23CBD9C2835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In actual scenario, this will be derived from revenue value and extrapollate from the trend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C27" authorId="0" shapeId="0" xr:uid="{F5FF391D-28A0-4FC8-904E-DE57599ED9AA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Based on pre money valuation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BB</author>
  </authors>
  <commentList>
    <comment ref="C10" authorId="0" shapeId="0" xr:uid="{104BDB80-862B-4E19-B8BD-976FC0293341}">
      <text>
        <r>
          <rPr>
            <b/>
            <sz val="9"/>
            <color indexed="81"/>
            <rFont val="Tahoma"/>
            <family val="2"/>
          </rPr>
          <t>BB:</t>
        </r>
        <r>
          <rPr>
            <sz val="9"/>
            <color indexed="81"/>
            <rFont val="Tahoma"/>
            <family val="2"/>
          </rPr>
          <t xml:space="preserve">
Based post-money option pool</t>
        </r>
      </text>
    </comment>
  </commentList>
</comments>
</file>

<file path=xl/sharedStrings.xml><?xml version="1.0" encoding="utf-8"?>
<sst xmlns="http://schemas.openxmlformats.org/spreadsheetml/2006/main" count="749" uniqueCount="511">
  <si>
    <t>Malaysia</t>
  </si>
  <si>
    <t>Equity / Convertible / SAFE</t>
  </si>
  <si>
    <t>Description</t>
  </si>
  <si>
    <t>DCF, multiples, VC method &amp; scorecard</t>
  </si>
  <si>
    <t>Entry/exit returns, IRR, MOIC, waterfall</t>
  </si>
  <si>
    <t>Risk scorecard &amp; sensitivity analysis</t>
  </si>
  <si>
    <t>Term sheet economics &amp; dilution model</t>
  </si>
  <si>
    <t>TAM/SAM/SOM build-up</t>
  </si>
  <si>
    <t>Competitor matrix &amp; positioning</t>
  </si>
  <si>
    <t>Qualitative diligence scorecard</t>
  </si>
  <si>
    <t>KEY MODEL ASSUMPTIONS</t>
  </si>
  <si>
    <t>ASSUMPTION</t>
  </si>
  <si>
    <t>REVENUE ASSUMPTIONS</t>
  </si>
  <si>
    <t>Gross Margin</t>
  </si>
  <si>
    <t>% Revenue from SaaS/Recurring</t>
  </si>
  <si>
    <t>COST &amp; OPEX ASSUMPTIONS</t>
  </si>
  <si>
    <t>COGS as % of Revenue (if not using GM)</t>
  </si>
  <si>
    <t>R&amp;D Expense as % of Revenue</t>
  </si>
  <si>
    <t>Sales &amp; Marketing as % of Revenue</t>
  </si>
  <si>
    <t>G&amp;A as % of Revenue</t>
  </si>
  <si>
    <t>D&amp;A as % of Revenue</t>
  </si>
  <si>
    <t>Tax Rate (effective)</t>
  </si>
  <si>
    <t>WORKING CAPITAL &amp; CAPEX</t>
  </si>
  <si>
    <t>Days Sales Outstanding (DSO)</t>
  </si>
  <si>
    <t>Days Payable Outstanding (DPO)</t>
  </si>
  <si>
    <t>Capex as % of Revenue</t>
  </si>
  <si>
    <t>FUNDING &amp; CAPITAL STRUCTURE</t>
  </si>
  <si>
    <t>Conversion Discount (%)</t>
  </si>
  <si>
    <t>Option Pool (% post-money)</t>
  </si>
  <si>
    <t>EXIT ASSUMPTIONS</t>
  </si>
  <si>
    <t>Exit Year (from investment)</t>
  </si>
  <si>
    <t>Exit Revenue Multiple (EV/Rev)</t>
  </si>
  <si>
    <t>Exit EBITDA Multiple (EV/EBITDA)</t>
  </si>
  <si>
    <t>Probability of Successful Exit</t>
  </si>
  <si>
    <t>Liquidation Preference (x)</t>
  </si>
  <si>
    <t>DCF &amp; WACC ASSUMPTIONS</t>
  </si>
  <si>
    <t>Risk-Free Rate</t>
  </si>
  <si>
    <t>Terminal Growth Rate</t>
  </si>
  <si>
    <t>FY2024</t>
  </si>
  <si>
    <t>FY2025</t>
  </si>
  <si>
    <t>FY2026</t>
  </si>
  <si>
    <t>FY2027</t>
  </si>
  <si>
    <t>FY2028</t>
  </si>
  <si>
    <t>INCOME STATEMENT</t>
  </si>
  <si>
    <t>Revenue</t>
  </si>
  <si>
    <t>YoY Growth</t>
  </si>
  <si>
    <t>Gross Profit</t>
  </si>
  <si>
    <t>Gross Margin %</t>
  </si>
  <si>
    <t>R&amp;D Expense</t>
  </si>
  <si>
    <t>G&amp;A Expense</t>
  </si>
  <si>
    <t>Total OpEx</t>
  </si>
  <si>
    <t>EBITDA</t>
  </si>
  <si>
    <t>EBITDA Margin %</t>
  </si>
  <si>
    <t>D&amp;A</t>
  </si>
  <si>
    <t>EBIT</t>
  </si>
  <si>
    <t>Tax</t>
  </si>
  <si>
    <t>Net Income / (Loss)</t>
  </si>
  <si>
    <t>CASH FLOW SUMMARY</t>
  </si>
  <si>
    <t>Net Income</t>
  </si>
  <si>
    <t>Add: D&amp;A</t>
  </si>
  <si>
    <t>Change in Working Capital</t>
  </si>
  <si>
    <t>Capex</t>
  </si>
  <si>
    <t>Free Cash Flow</t>
  </si>
  <si>
    <t>FCF Margin %</t>
  </si>
  <si>
    <t>STARTUP VALUATION FRAMEWORK</t>
  </si>
  <si>
    <t>METHOD 1: DISCOUNTED CASH FLOW (DCF)</t>
  </si>
  <si>
    <t>Item</t>
  </si>
  <si>
    <t>WACC</t>
  </si>
  <si>
    <t>Terminal Year FCF</t>
  </si>
  <si>
    <t>Terminal Value</t>
  </si>
  <si>
    <t>PV of FCFs (Y1-Y5)</t>
  </si>
  <si>
    <t>PV of Terminal Value</t>
  </si>
  <si>
    <t>Enterprise Value (DCF)</t>
  </si>
  <si>
    <t>METHOD 2: REVENUE MULTIPLES</t>
  </si>
  <si>
    <t>Revenue Multiple (EV/Rev)</t>
  </si>
  <si>
    <t>Implied EV</t>
  </si>
  <si>
    <t>EBITDA Multiple (EV/EBITDA)</t>
  </si>
  <si>
    <t>LTM EBITDA</t>
  </si>
  <si>
    <t>Implied EV (EBITDA method)</t>
  </si>
  <si>
    <t>Blended EV (50/50)</t>
  </si>
  <si>
    <t>METHOD 3: VC METHOD (FORWARD RETURNS)</t>
  </si>
  <si>
    <t>Target Return (MOIC)</t>
  </si>
  <si>
    <t>Investment Amount</t>
  </si>
  <si>
    <t>Required Exit Value</t>
  </si>
  <si>
    <t>Pre-money Valuation (VC implied)</t>
  </si>
  <si>
    <t>Post-money Valuation</t>
  </si>
  <si>
    <t>Ownership % Required</t>
  </si>
  <si>
    <t>Method</t>
  </si>
  <si>
    <t>Weight</t>
  </si>
  <si>
    <t>Wtd. EV</t>
  </si>
  <si>
    <t>DCF</t>
  </si>
  <si>
    <t>Revenue Multiples</t>
  </si>
  <si>
    <t>VC Method</t>
  </si>
  <si>
    <t>RETURN MODELLING — IRR / MOIC / EXIT WATERFALL</t>
  </si>
  <si>
    <t>ENTRY ECONOMICS</t>
  </si>
  <si>
    <t>Pre-money Valuation</t>
  </si>
  <si>
    <t>Ownership % (entry)</t>
  </si>
  <si>
    <t>Option Pool Dilution</t>
  </si>
  <si>
    <t>Diluted Ownership %</t>
  </si>
  <si>
    <t>EXIT ECONOMICS &amp; RETURNS</t>
  </si>
  <si>
    <t>Holding Period (years)</t>
  </si>
  <si>
    <t>Liquidation Preference</t>
  </si>
  <si>
    <t>Proceeds to Investor</t>
  </si>
  <si>
    <t>MOIC (Gross)</t>
  </si>
  <si>
    <t>IRR (Gross)</t>
  </si>
  <si>
    <t>Prob-weighted MOIC</t>
  </si>
  <si>
    <t>3.0x</t>
  </si>
  <si>
    <t>5.0x</t>
  </si>
  <si>
    <t>8.0x</t>
  </si>
  <si>
    <t>10.0x</t>
  </si>
  <si>
    <t>15.0x</t>
  </si>
  <si>
    <t>3 Years</t>
  </si>
  <si>
    <t>4 Years</t>
  </si>
  <si>
    <t>5 Years</t>
  </si>
  <si>
    <t>6 Years</t>
  </si>
  <si>
    <t>7 Years</t>
  </si>
  <si>
    <t>CREDIT &amp; RISK ASSESSMENT SCORECARD</t>
  </si>
  <si>
    <t>RISK SCORECARD (Score 1–5: 1=Very High Risk, 5=Very Low Risk)</t>
  </si>
  <si>
    <t>Risk Factor</t>
  </si>
  <si>
    <t>Score (1–5)</t>
  </si>
  <si>
    <t>Wtd. Score</t>
  </si>
  <si>
    <t>Flag</t>
  </si>
  <si>
    <t>Management Team Quality</t>
  </si>
  <si>
    <t>Founders' domain expertise, execution track record, &amp; team depth</t>
  </si>
  <si>
    <t>Market Size &amp; Growth</t>
  </si>
  <si>
    <t>TAM/SAM size, growth trajectory, and timing of entry</t>
  </si>
  <si>
    <t>Business Model Viability</t>
  </si>
  <si>
    <t>Revenue model clarity, unit economics, and path to profitability</t>
  </si>
  <si>
    <t>Product / Technology Moat</t>
  </si>
  <si>
    <t>IP defensibility, switching costs, and competitive differentiation</t>
  </si>
  <si>
    <t>Traction &amp; Validation</t>
  </si>
  <si>
    <t>Revenue growth, customer retention, and pilot/POC outcomes</t>
  </si>
  <si>
    <t>Regulatory &amp; Compliance</t>
  </si>
  <si>
    <t>Licensing requirements, regulatory exposure, and legal risk</t>
  </si>
  <si>
    <t>Financial Health</t>
  </si>
  <si>
    <t>Burn rate, runway, cash management, and fundraising history</t>
  </si>
  <si>
    <t>Exit Likelihood</t>
  </si>
  <si>
    <t>Probability of M&amp;A, IPO, or strategic exit within 5–7 years</t>
  </si>
  <si>
    <t>Macro / Country Risk</t>
  </si>
  <si>
    <t>Political stability, currency risk, and market development</t>
  </si>
  <si>
    <t>ESG &amp; Governance</t>
  </si>
  <si>
    <t>Environmental, social, governance practices and board quality</t>
  </si>
  <si>
    <t>TOTAL WEIGHTED RISK SCORE (Max = 5.0)</t>
  </si>
  <si>
    <t>MOIC SENSITIVITY: REVENUE GROWTH vs EXIT MULTIPLE</t>
  </si>
  <si>
    <t>MOIC →  Revenue Growth →</t>
  </si>
  <si>
    <t>30%</t>
  </si>
  <si>
    <t>50%</t>
  </si>
  <si>
    <t>75%</t>
  </si>
  <si>
    <t>100%</t>
  </si>
  <si>
    <t>150%</t>
  </si>
  <si>
    <t>3.0x Exit</t>
  </si>
  <si>
    <t>5.0x Exit</t>
  </si>
  <si>
    <t>8.0x Exit</t>
  </si>
  <si>
    <t>10.0x Exit</t>
  </si>
  <si>
    <t>15.0x Exit</t>
  </si>
  <si>
    <t>DEAL STRUCTURING &amp; TERM SHEET ECONOMICS</t>
  </si>
  <si>
    <t>CAP TABLE — PRE &amp; POST INVESTMENT</t>
  </si>
  <si>
    <t>Shareholder</t>
  </si>
  <si>
    <t>Pre-$ Shares</t>
  </si>
  <si>
    <t>Pre-$ %</t>
  </si>
  <si>
    <t>Post-$ %</t>
  </si>
  <si>
    <t>Founders</t>
  </si>
  <si>
    <t>Existing Investors</t>
  </si>
  <si>
    <t>ESOP / Option Pool</t>
  </si>
  <si>
    <t>New Investor</t>
  </si>
  <si>
    <t>—</t>
  </si>
  <si>
    <t>Total</t>
  </si>
  <si>
    <t>TERM SHEET KEY TERMS CHECKLIST</t>
  </si>
  <si>
    <t>Term</t>
  </si>
  <si>
    <t>Proposed</t>
  </si>
  <si>
    <t>Negotiated</t>
  </si>
  <si>
    <t>Status</t>
  </si>
  <si>
    <t>Notes</t>
  </si>
  <si>
    <t>Investment Instrument</t>
  </si>
  <si>
    <t>Ordinary Equity</t>
  </si>
  <si>
    <t>Pending</t>
  </si>
  <si>
    <t>Investment Size</t>
  </si>
  <si>
    <t>Equity Stake</t>
  </si>
  <si>
    <t>Board Seat</t>
  </si>
  <si>
    <t>1 Observer seat</t>
  </si>
  <si>
    <t>Anti-dilution</t>
  </si>
  <si>
    <t>Broad-based weighted avg</t>
  </si>
  <si>
    <t>Pro-rata Rights</t>
  </si>
  <si>
    <t>Information Rights</t>
  </si>
  <si>
    <t>Quarterly financials</t>
  </si>
  <si>
    <t>1x non-participating</t>
  </si>
  <si>
    <t>Drag-along</t>
  </si>
  <si>
    <t>Majority consent</t>
  </si>
  <si>
    <t>Vesting Schedule</t>
  </si>
  <si>
    <t>4yr / 1yr cliff (founders)</t>
  </si>
  <si>
    <t>Use of Proceeds</t>
  </si>
  <si>
    <t>Product, Sales, Ops</t>
  </si>
  <si>
    <t>MARKET SIZING — TAM / SAM / SOM</t>
  </si>
  <si>
    <t>TOP-DOWN MARKET SIZING</t>
  </si>
  <si>
    <t>Market Layer</t>
  </si>
  <si>
    <t>Definition</t>
  </si>
  <si>
    <t>CAGR</t>
  </si>
  <si>
    <t>Method / Source</t>
  </si>
  <si>
    <t>TAM — Total Addressable Market</t>
  </si>
  <si>
    <t>Global market for the sector this company operates in</t>
  </si>
  <si>
    <t>SAM — Serviceable Addressable</t>
  </si>
  <si>
    <t>Geographic &amp; segment subset that the business model can realistically serve</t>
  </si>
  <si>
    <t>SOM — Serviceable Obtainable</t>
  </si>
  <si>
    <t>Internal financial model projection</t>
  </si>
  <si>
    <t>BOTTOM-UP VALIDATION</t>
  </si>
  <si>
    <t>Total Target Customers</t>
  </si>
  <si>
    <t>Average Revenue per Customer</t>
  </si>
  <si>
    <t>Cross-check vs SOM</t>
  </si>
  <si>
    <t>COMPETITIVE LANDSCAPE MATRIX</t>
  </si>
  <si>
    <t>COMPETITOR BENCHMARKING</t>
  </si>
  <si>
    <t>Company</t>
  </si>
  <si>
    <t>Funding Stage</t>
  </si>
  <si>
    <t>Key Differentiator</t>
  </si>
  <si>
    <t>Key Weakness</t>
  </si>
  <si>
    <t>Threat Level (1–5)</t>
  </si>
  <si>
    <t>Seed</t>
  </si>
  <si>
    <t>60%</t>
  </si>
  <si>
    <t>Enter differentiator</t>
  </si>
  <si>
    <t>Early stage, limited track record</t>
  </si>
  <si>
    <t>Competitor A</t>
  </si>
  <si>
    <t>Series A</t>
  </si>
  <si>
    <t>55%</t>
  </si>
  <si>
    <t>Enter weakness</t>
  </si>
  <si>
    <t>Competitor B</t>
  </si>
  <si>
    <t>Series B</t>
  </si>
  <si>
    <t>Competitor C</t>
  </si>
  <si>
    <t>Pre-IPO</t>
  </si>
  <si>
    <t>45%</t>
  </si>
  <si>
    <t>Incumbent / Corp.</t>
  </si>
  <si>
    <t>Listed</t>
  </si>
  <si>
    <t>35%</t>
  </si>
  <si>
    <t>Distribution scale</t>
  </si>
  <si>
    <t>Slow innovation</t>
  </si>
  <si>
    <t>Feature / Capability</t>
  </si>
  <si>
    <t>This Company</t>
  </si>
  <si>
    <t>Comp. A</t>
  </si>
  <si>
    <t>Comp. B</t>
  </si>
  <si>
    <t>Comp. C</t>
  </si>
  <si>
    <t>Incumbent</t>
  </si>
  <si>
    <t>Core Product / Platform</t>
  </si>
  <si>
    <t>Mobile / Digital-first UX</t>
  </si>
  <si>
    <t>AI / Data Analytics</t>
  </si>
  <si>
    <t>Regulatory / Compliance Feature</t>
  </si>
  <si>
    <t>Embedded Finance / Lending</t>
  </si>
  <si>
    <t>Marketplace / Network Effects</t>
  </si>
  <si>
    <t>Government / Institutional Ties</t>
  </si>
  <si>
    <t>ASEAN / Regional Scalability</t>
  </si>
  <si>
    <t>DEAL ASSESSMENT — QUALITATIVE DILIGENCE SCORECARD</t>
  </si>
  <si>
    <t>TEAM &amp; MANAGEMENT</t>
  </si>
  <si>
    <t>Diligence Item</t>
  </si>
  <si>
    <t>Analyst Notes</t>
  </si>
  <si>
    <t>Evidence / Source</t>
  </si>
  <si>
    <t>Founder domain expertise</t>
  </si>
  <si>
    <t>Rate 1-5 and document evidence in notes column</t>
  </si>
  <si>
    <t>Cofounder / team complementarity</t>
  </si>
  <si>
    <t>Engineering + commercial + domain balance</t>
  </si>
  <si>
    <t>Prior startup / exit experience</t>
  </si>
  <si>
    <t>Relevant track record</t>
  </si>
  <si>
    <t>Ability to attract talent</t>
  </si>
  <si>
    <t>Glassdoor, LinkedIn growth, key hires</t>
  </si>
  <si>
    <t>Board / advisor quality</t>
  </si>
  <si>
    <t>Institutional, domain, and network value</t>
  </si>
  <si>
    <t>SECTION AVERAGE — TEAM &amp; MANAGEMENT</t>
  </si>
  <si>
    <t>PRODUCT &amp; TECHNOLOGY</t>
  </si>
  <si>
    <t>Product-market fit evidence</t>
  </si>
  <si>
    <t>NPS, churn, customer references</t>
  </si>
  <si>
    <t>IP / defensibility</t>
  </si>
  <si>
    <t>Patents, proprietary data, network effects</t>
  </si>
  <si>
    <t>Product roadmap clarity</t>
  </si>
  <si>
    <t>18-month roadmap reviewed?</t>
  </si>
  <si>
    <t>Tech stack scalability</t>
  </si>
  <si>
    <t>Cloud-native, modular, security</t>
  </si>
  <si>
    <t>SECTION AVERAGE — PRODUCT &amp; TECHNOLOGY</t>
  </si>
  <si>
    <t>MARKET &amp; TRACTION</t>
  </si>
  <si>
    <t>Revenue traction</t>
  </si>
  <si>
    <t>MoM / YoY growth rate</t>
  </si>
  <si>
    <t>Customer concentration risk</t>
  </si>
  <si>
    <t>Top 3 customers as % of revenue</t>
  </si>
  <si>
    <t>Sales pipeline quality</t>
  </si>
  <si>
    <t>Qualified pipeline 3x quarterly target?</t>
  </si>
  <si>
    <t>Unit economics (LTV:CAC)</t>
  </si>
  <si>
    <t>Target: LTV/CAC &gt; 3x</t>
  </si>
  <si>
    <t>Churn / retention rates</t>
  </si>
  <si>
    <t>Target: Net Revenue Retention &gt; 100%</t>
  </si>
  <si>
    <t>SECTION AVERAGE — MARKET &amp; TRACTION</t>
  </si>
  <si>
    <t>FINANCIAL &amp; GOVERNANCE</t>
  </si>
  <si>
    <t>Financial statements quality</t>
  </si>
  <si>
    <t>Audited? Management accounts reviewed?</t>
  </si>
  <si>
    <t>Burn rate &amp; runway</t>
  </si>
  <si>
    <t>Months of runway at current burn</t>
  </si>
  <si>
    <t>Cap table cleanliness</t>
  </si>
  <si>
    <t>No red flags: clean preferences, no 3rd-party liens</t>
  </si>
  <si>
    <t>Corporate governance</t>
  </si>
  <si>
    <t>Board minutes, shareholder agreements reviewed?</t>
  </si>
  <si>
    <t>Use of proceeds clarity</t>
  </si>
  <si>
    <t>Specific, measurable allocation of funds</t>
  </si>
  <si>
    <t>OVERALL DEAL RECOMMENDATION</t>
  </si>
  <si>
    <t>Enter recommendation here</t>
  </si>
  <si>
    <t>Ticker:</t>
  </si>
  <si>
    <t>Sector:</t>
  </si>
  <si>
    <t>Model Version:</t>
  </si>
  <si>
    <t>v1.0</t>
  </si>
  <si>
    <t>Prepared By:</t>
  </si>
  <si>
    <t>Date:</t>
  </si>
  <si>
    <t>Currency:</t>
  </si>
  <si>
    <t>MODEL STRUCTURE</t>
  </si>
  <si>
    <t>Startup ABC</t>
  </si>
  <si>
    <t>Startup Model</t>
  </si>
  <si>
    <t>Bryan Brkat</t>
  </si>
  <si>
    <t>Country:</t>
  </si>
  <si>
    <t>Funding Stage:</t>
  </si>
  <si>
    <t>Sector ABC</t>
  </si>
  <si>
    <t>Stage ABC</t>
  </si>
  <si>
    <t>Deal Type:</t>
  </si>
  <si>
    <t>Holding Period ↓   Exit Multiple →</t>
  </si>
  <si>
    <t>IRR SENSITIVITY: HOLDING PERIOD vs EXIT MULTIPLE</t>
  </si>
  <si>
    <t xml:space="preserve">  COLOUR LEGEND</t>
  </si>
  <si>
    <t>Blue text</t>
  </si>
  <si>
    <t>Hardcoded inputs — edit these cells for intended analysis</t>
  </si>
  <si>
    <t>Green text</t>
  </si>
  <si>
    <t>Formula linked from another sheet in this workbook</t>
  </si>
  <si>
    <t>Black text</t>
  </si>
  <si>
    <t>Calculated formula — do not overwrite</t>
  </si>
  <si>
    <t>MYR/RM</t>
  </si>
  <si>
    <t>Revenue Year 1</t>
  </si>
  <si>
    <t xml:space="preserve">Valuation Cap </t>
  </si>
  <si>
    <t>FINANCIAL PROJECTIONS  — BASE CASE</t>
  </si>
  <si>
    <t xml:space="preserve">LTM / Forward Revenue </t>
  </si>
  <si>
    <t xml:space="preserve">VALUATION SUMMARY — IMPLIED EV RANGE </t>
  </si>
  <si>
    <t xml:space="preserve">BLENDED VALUATION </t>
  </si>
  <si>
    <t xml:space="preserve">Current </t>
  </si>
  <si>
    <t xml:space="preserve">Implied Revenue </t>
  </si>
  <si>
    <t xml:space="preserve">Est. ARR </t>
  </si>
  <si>
    <t>MRR-ARR RECURRING REVENUE MODEL  |  24-Month Rolling Waterfall</t>
  </si>
  <si>
    <t>A. PRICING TIER ASSUMPTIONS  (Blue = input)</t>
  </si>
  <si>
    <t>Tier</t>
  </si>
  <si>
    <t>ARPU / Month (MYR)</t>
  </si>
  <si>
    <t>Monthly Churn %</t>
  </si>
  <si>
    <t>Expansion Rate %</t>
  </si>
  <si>
    <t>Contraction Rate %</t>
  </si>
  <si>
    <t>Colour</t>
  </si>
  <si>
    <t>Basic</t>
  </si>
  <si>
    <t>Standard</t>
  </si>
  <si>
    <t>Premium</t>
  </si>
  <si>
    <t>B. MONTHLY NEW SUBSCRIBER ACQUISITIONS  (inputs — change per month as needed)</t>
  </si>
  <si>
    <t>Yr 1 Monthly Avg</t>
  </si>
  <si>
    <t>New Subs — Basic</t>
  </si>
  <si>
    <t>New Subs — Standard</t>
  </si>
  <si>
    <t>New Subs — Premium</t>
  </si>
  <si>
    <t>C1. SUBSCRIBER WATERFALL — BASIC TIER</t>
  </si>
  <si>
    <t>Metric</t>
  </si>
  <si>
    <t>Starting Subs</t>
  </si>
  <si>
    <t>New Subs</t>
  </si>
  <si>
    <t>Churned Subs</t>
  </si>
  <si>
    <t>Expanded (Upgrades IN)</t>
  </si>
  <si>
    <t>Contracted (Downgrades OUT)</t>
  </si>
  <si>
    <t>Ending Active Subs</t>
  </si>
  <si>
    <t>ARPU (MYR)</t>
  </si>
  <si>
    <t>C2. SUBSCRIBER WATERFALL — STANDARD TIER</t>
  </si>
  <si>
    <t>C3. SUBSCRIBER WATERFALL — PREMIUM TIER</t>
  </si>
  <si>
    <t>Total Active Subscribers (All Tiers)</t>
  </si>
  <si>
    <t>Starting MRR</t>
  </si>
  <si>
    <t>(+) New MRR</t>
  </si>
  <si>
    <t>(+) Expansion MRR  [upgrades]</t>
  </si>
  <si>
    <t>(-) Churn MRR</t>
  </si>
  <si>
    <t>(-) Contraction MRR  [downgrades]</t>
  </si>
  <si>
    <t>Ending MRR</t>
  </si>
  <si>
    <t>ARR  (Ending MRR x 12)</t>
  </si>
  <si>
    <t>Net New MRR  = (New+Exp) - (Churn+Cont)</t>
  </si>
  <si>
    <t>MoM Net New MRR Change %</t>
  </si>
  <si>
    <t>NRR — Net Revenue Retention</t>
  </si>
  <si>
    <t>GRR — Gross Revenue Retention</t>
  </si>
  <si>
    <t>Quick Ratio  = (New+Exp) / (Churn+Cont)</t>
  </si>
  <si>
    <t>COHORT ANALYSIS  |  Customer Retention, CAC, LTV &amp; Cash Burn</t>
  </si>
  <si>
    <t>A. COHORT ASSUMPTIONS &amp; INPUTS</t>
  </si>
  <si>
    <t>Parameter</t>
  </si>
  <si>
    <t>Value</t>
  </si>
  <si>
    <t>Blended ARPU (MYR/month)</t>
  </si>
  <si>
    <t>Average across all tiers</t>
  </si>
  <si>
    <t>Blended Gross Margin %</t>
  </si>
  <si>
    <t>From Fin. Projections assumptions</t>
  </si>
  <si>
    <t>Blended across tiers</t>
  </si>
  <si>
    <t>Total S&amp;M spend / month</t>
  </si>
  <si>
    <t>R&amp;D + G&amp;A + Other monthly</t>
  </si>
  <si>
    <t>Discount Rate (monthly)</t>
  </si>
  <si>
    <t>B. NEW CUSTOMERS ACQUIRED PER COHORT MONTH  (inputs)</t>
  </si>
  <si>
    <t>Cohort (Signup Month)</t>
  </si>
  <si>
    <t>New Customers Acq.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</si>
  <si>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</si>
  <si>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</si>
  <si>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</si>
  <si>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</si>
  <si>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</si>
  <si>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</si>
  <si>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</si>
  <si>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</si>
  <si>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</si>
  <si>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</si>
  <si>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</si>
  <si>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</si>
  <si>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C. COHORT RETENTION TABLE  (% of original cohort still active)</t>
  </si>
  <si>
    <t>Cohort →  Months Since Acquisition:</t>
  </si>
  <si>
    <t>Cohort Size</t>
  </si>
  <si>
    <t>Month 0 (Acq)</t>
  </si>
  <si>
    <t>D. CUMULATIVE REVENUE PER COHORT  (MYR 000s)</t>
  </si>
  <si>
    <t>Cohort</t>
  </si>
  <si>
    <t>M+0</t>
  </si>
  <si>
    <t>E. CAC, LTV &amp; MONTHLY CASH BURN</t>
  </si>
  <si>
    <t>── CUSTOMER ACQUISITION COST (CAC) ──</t>
  </si>
  <si>
    <t>From assumptions</t>
  </si>
  <si>
    <t>Avg New Customers Acquired / Month</t>
  </si>
  <si>
    <t>Average of cohort inputs</t>
  </si>
  <si>
    <t>CAC (MYR per customer)</t>
  </si>
  <si>
    <t>S&amp;M Spend (MYR) ÷ New Customers</t>
  </si>
  <si>
    <t>── LIFETIME VALUE (LTV) ──</t>
  </si>
  <si>
    <t>Blended ARPU</t>
  </si>
  <si>
    <t>Monthly Churn Rate</t>
  </si>
  <si>
    <t>Avg Customer Lifetime (months)</t>
  </si>
  <si>
    <t>1 ÷ Monthly Churn Rate</t>
  </si>
  <si>
    <t>LTV — Simple  (ARPU × GM × Lifetime)</t>
  </si>
  <si>
    <t>Basic LTV estimate</t>
  </si>
  <si>
    <t>LTV — Discounted  (NPV of future GP)</t>
  </si>
  <si>
    <t>ARPU×GM÷(Churn+Disc Rate)</t>
  </si>
  <si>
    <t>LTV : CAC Ratio</t>
  </si>
  <si>
    <t>Target: &gt;3x is healthy, &gt;5x is excellent</t>
  </si>
  <si>
    <t>CAC Payback Period (months)</t>
  </si>
  <si>
    <t>CAC ÷ (ARPU × GM)</t>
  </si>
  <si>
    <t>── MONTHLY CASH BURN ──</t>
  </si>
  <si>
    <t>Avg Ending MRR from MRR model</t>
  </si>
  <si>
    <t>Revenue × Gross Margin</t>
  </si>
  <si>
    <t>Monthly Cash Burn (MYR 000s)</t>
  </si>
  <si>
    <t>Gross Profit minus OpEx (positive = surplus)</t>
  </si>
  <si>
    <t>Months of Runway (at current burn)</t>
  </si>
  <si>
    <t>Only relevant when burning cash</t>
  </si>
  <si>
    <t>RULE OF 40 ANALYSIS</t>
  </si>
  <si>
    <t>Annual Revenue Growth (%)</t>
  </si>
  <si>
    <t>FCF Margin (%) [used in Rule of 40]</t>
  </si>
  <si>
    <t>EBITDA Margin (%) [reference only]</t>
  </si>
  <si>
    <t>RULE OF 40 SCORE  (Growth % + FCF Margin %)</t>
  </si>
  <si>
    <t>Interpretation  (≥40 = Healthy, ≥60 = Excellent)</t>
  </si>
  <si>
    <t>Financial Model</t>
  </si>
  <si>
    <t>Split product by tier level?</t>
  </si>
  <si>
    <t>Tier MRR</t>
  </si>
  <si>
    <t>KeySwitch</t>
  </si>
  <si>
    <t>D. CONSOLIDATED MRR WATERFALL &amp; NET NEW MRR</t>
  </si>
  <si>
    <t>Total 12M Rev</t>
  </si>
  <si>
    <t>S&amp;M Spend</t>
  </si>
  <si>
    <t>Total Monthly S&amp;M Spend</t>
  </si>
  <si>
    <t>Avg Monthly Revenue per Customer</t>
  </si>
  <si>
    <t>Total Revenue (MYR/month)</t>
  </si>
  <si>
    <t>Gross Profit (MYR/month)</t>
  </si>
  <si>
    <t>Current Cash Available</t>
  </si>
  <si>
    <t>Total OpEx (S&amp;M + Other, MYR/month)</t>
  </si>
  <si>
    <t>Revenue Growth Rate</t>
  </si>
  <si>
    <t>Y2026 (M1)</t>
  </si>
  <si>
    <t>Y2026 (M2)</t>
  </si>
  <si>
    <t>Y2026 (M3)</t>
  </si>
  <si>
    <t>Y2026 (M4)</t>
  </si>
  <si>
    <t>Y2026 (M5)</t>
  </si>
  <si>
    <t>Y2026 (M6)</t>
  </si>
  <si>
    <t>Y2026 (M7)</t>
  </si>
  <si>
    <t>Y2026 (M8)</t>
  </si>
  <si>
    <t>Y2026 (M9)</t>
  </si>
  <si>
    <t>Y2027 (M1)</t>
  </si>
  <si>
    <t>Y2027 (M2)</t>
  </si>
  <si>
    <t>Y2027 (M3)</t>
  </si>
  <si>
    <t>Y2027 (M4)</t>
  </si>
  <si>
    <t>Y2027 (M5)</t>
  </si>
  <si>
    <t>Y2027 (M6)</t>
  </si>
  <si>
    <t>Y2027 (M7)</t>
  </si>
  <si>
    <t>Y2027 (M8)</t>
  </si>
  <si>
    <t>Y2027 (M9)</t>
  </si>
  <si>
    <t>Y2026 (M10)</t>
  </si>
  <si>
    <t>Y2026 (M11)</t>
  </si>
  <si>
    <t>Y2026 (M12)</t>
  </si>
  <si>
    <t>Y2027 (M10)</t>
  </si>
  <si>
    <t>Y2027 (M11)</t>
  </si>
  <si>
    <t>Y2027 (M12)</t>
  </si>
  <si>
    <t>Blended Monthly Churn Rate</t>
  </si>
  <si>
    <t>(eg. 20% annual / 12)</t>
  </si>
  <si>
    <t>Monthly Sales &amp; Mktg Cost</t>
  </si>
  <si>
    <t>Monthly Opex Excl. S&amp;M</t>
  </si>
  <si>
    <t>Sales &amp; Marketing Expense</t>
  </si>
  <si>
    <t>2 year future projections for Income and Cash Flow</t>
  </si>
  <si>
    <t>Alternative Revenue calculation via pricing tiers</t>
  </si>
  <si>
    <t>Cohort analysis on Y2026 for CAC and LTV</t>
  </si>
  <si>
    <t>Equity Risk Premium (%)</t>
  </si>
  <si>
    <t>Cost of Equity – CAPM (%)</t>
  </si>
  <si>
    <t>Pre-Tax Cost of Debt (%)</t>
  </si>
  <si>
    <t>Marginal Tax Rate (%)</t>
  </si>
  <si>
    <t>After-Tax Cost of Debt (%)</t>
  </si>
  <si>
    <t>Equity Weight (%)</t>
  </si>
  <si>
    <t>Debt Weight (%)</t>
  </si>
  <si>
    <t>WACC (%)</t>
  </si>
  <si>
    <t>Beta</t>
  </si>
  <si>
    <t>*Use 20% for high risk</t>
  </si>
  <si>
    <t>Terminal Growth Rate (%)</t>
  </si>
  <si>
    <t>Current Value</t>
  </si>
  <si>
    <t>Latest Revenue</t>
  </si>
  <si>
    <t>Revenue Multiple</t>
  </si>
  <si>
    <t>Accepted</t>
  </si>
  <si>
    <t>Yes, for future rounds</t>
  </si>
  <si>
    <t>Post-$ Shares</t>
  </si>
  <si>
    <t>Company Revenue Projection (Y2027)</t>
  </si>
  <si>
    <t>Realistic market capture in 2 years given competition and execution</t>
  </si>
  <si>
    <t>2027E</t>
  </si>
  <si>
    <t>Reachable Customers (Year 2)</t>
  </si>
  <si>
    <t>FEATURE COMPARISON MATRIX (Rate 1-5)</t>
  </si>
  <si>
    <t>★ Startup ABC</t>
  </si>
  <si>
    <t>SECTION AVERAGE — FINANCIAL &amp; GOVERNANCE</t>
  </si>
  <si>
    <r>
      <t xml:space="preserve">Read table </t>
    </r>
    <r>
      <rPr>
        <b/>
        <sz val="9"/>
        <color rgb="FFFF0000"/>
        <rFont val="Arial"/>
        <family val="2"/>
      </rPr>
      <t>B49</t>
    </r>
    <r>
      <rPr>
        <sz val="9"/>
        <color rgb="FF0D0D0D"/>
        <rFont val="Arial"/>
        <family val="2"/>
      </rPr>
      <t xml:space="preserve"> for colour legends reference and use </t>
    </r>
    <r>
      <rPr>
        <b/>
        <sz val="9"/>
        <color rgb="FFFF0000"/>
        <rFont val="Arial"/>
        <family val="2"/>
      </rPr>
      <t>L5</t>
    </r>
    <r>
      <rPr>
        <sz val="9"/>
        <color rgb="FF0D0D0D"/>
        <rFont val="Arial"/>
        <family val="2"/>
      </rPr>
      <t xml:space="preserve"> for product tier keyswitch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</si>
</sst>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M&quot;* #,##0.00_-;\-&quot;RM&quot;* #,##0.00_-;_-&quot;RM&quot;* &quot;-&quot;??_-;_-@_-"/>
    <numFmt numFmtId="164" formatCode="#,##0;\(#,##0\);\-"/>
    <numFmt numFmtId="165" formatCode="0.0%;\(0.0%\);\-"/>
    <numFmt numFmtId="166" formatCode="0.0\x"/>
    <numFmt numFmtId="167" formatCode="0.0"/>
    <numFmt numFmtId="168" formatCode="0.0%&quot; penetration&quot;"/>
    <numFmt numFmtId="169" formatCode="_-[$RM-4409]* #,##0_-;\-[$RM-4409]* #,##0_-;_-[$RM-4409]* &quot;-&quot;??_-;_-@_-"/>
    <numFmt numFmtId="170" formatCode="0.0%"/>
    <numFmt numFmtId="171" formatCode="_-&quot;RM&quot;* #,##0_-;\-&quot;RM&quot;* #,##0_-;_-&quot;RM&quot;* &quot;-&quot;??_-;_-@_-"/>
    <numFmt numFmtId="172" formatCode="#,##0.00;\(#,##0.00\);\-"/>
  </numFmts>
  <fonts count="4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rgb="FF1C2B3A"/>
      <name val="Arial"/>
      <family val="2"/>
    </font>
    <font>
      <sz val="9"/>
      <color rgb="FF0000FF"/>
      <name val="Arial"/>
      <family val="2"/>
    </font>
    <font>
      <b/>
      <sz val="9"/>
      <color rgb="FFFFFFFF"/>
      <name val="Arial"/>
      <family val="2"/>
    </font>
    <font>
      <sz val="9"/>
      <color rgb="FF1C2B3A"/>
      <name val="Arial"/>
      <family val="2"/>
    </font>
    <font>
      <i/>
      <sz val="8"/>
      <color rgb="FF77889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8"/>
      <color rgb="FF1C2B3A"/>
      <name val="Arial"/>
      <family val="2"/>
    </font>
    <font>
      <sz val="8"/>
      <color rgb="FF1C2B3A"/>
      <name val="Arial"/>
      <family val="2"/>
    </font>
    <font>
      <sz val="8"/>
      <name val="Arial"/>
      <family val="2"/>
    </font>
    <font>
      <sz val="9"/>
      <color rgb="FF778899"/>
      <name val="Arial"/>
      <family val="2"/>
    </font>
    <font>
      <b/>
      <sz val="10"/>
      <color rgb="FFFFFFFF"/>
      <name val="Arial"/>
      <family val="2"/>
    </font>
    <font>
      <b/>
      <sz val="22"/>
      <color rgb="FF1A2E4A"/>
      <name val="Arial"/>
      <family val="2"/>
    </font>
    <font>
      <sz val="13"/>
      <color rgb="FF2C4770"/>
      <name val="Arial"/>
      <family val="2"/>
    </font>
    <font>
      <b/>
      <sz val="10"/>
      <color rgb="FF1A2E4A"/>
      <name val="Arial"/>
      <family val="2"/>
    </font>
    <font>
      <sz val="10"/>
      <color rgb="FF2C4770"/>
      <name val="Arial"/>
      <family val="2"/>
    </font>
    <font>
      <u/>
      <sz val="11"/>
      <color theme="10"/>
      <name val="Calibri"/>
      <family val="2"/>
      <charset val="1"/>
    </font>
    <font>
      <sz val="9"/>
      <color rgb="FF0D0D0D"/>
      <name val="Arial"/>
      <family val="2"/>
    </font>
    <font>
      <sz val="11"/>
      <name val="Calibri"/>
      <family val="2"/>
      <charset val="1"/>
    </font>
    <font>
      <b/>
      <sz val="16"/>
      <color rgb="FFFFFFFF"/>
      <name val="Calibri"/>
      <family val="2"/>
    </font>
    <font>
      <b/>
      <sz val="10"/>
      <color rgb="FF1F3864"/>
      <name val="Calibri"/>
      <family val="2"/>
    </font>
    <font>
      <i/>
      <sz val="8"/>
      <color rgb="FF336699"/>
      <name val="Arial"/>
      <family val="2"/>
    </font>
    <font>
      <sz val="11"/>
      <color rgb="FFFFFFFF"/>
      <name val="Calibri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FF"/>
      <name val="Arial"/>
      <family val="2"/>
    </font>
    <font>
      <b/>
      <sz val="9"/>
      <color rgb="FF006400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8000"/>
      <name val="Arial"/>
      <family val="2"/>
    </font>
    <font>
      <i/>
      <sz val="8"/>
      <color theme="0" tint="-0.499984740745262"/>
      <name val="Arial"/>
      <family val="2"/>
    </font>
    <font>
      <b/>
      <sz val="11"/>
      <color rgb="FFFF0000"/>
      <name val="Calibri"/>
      <family val="2"/>
    </font>
    <font>
      <b/>
      <sz val="9"/>
      <color rgb="FF008000"/>
      <name val="Arial"/>
      <family val="2"/>
    </font>
    <font>
      <b/>
      <i/>
      <sz val="9"/>
      <color rgb="FF778899"/>
      <name val="Arial"/>
      <family val="2"/>
    </font>
    <font>
      <sz val="11"/>
      <color rgb="FFFFF2CC"/>
      <name val="Calibri"/>
      <family val="2"/>
      <charset val="1"/>
    </font>
    <font>
      <b/>
      <sz val="9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A1628"/>
        <bgColor rgb="FF1C2B3A"/>
      </patternFill>
    </fill>
    <fill>
      <patternFill patternType="solid">
        <fgColor rgb="FFF3F7FC"/>
        <bgColor rgb="FFE6F2FB"/>
      </patternFill>
    </fill>
    <fill>
      <patternFill patternType="solid">
        <fgColor rgb="FFFFFFFF"/>
        <bgColor rgb="FFFFF8EC"/>
      </patternFill>
    </fill>
    <fill>
      <patternFill patternType="solid">
        <fgColor rgb="FF0077CC"/>
        <bgColor rgb="FF008080"/>
      </patternFill>
    </fill>
    <fill>
      <patternFill patternType="solid">
        <fgColor rgb="FFE6F2FB"/>
        <bgColor rgb="FFE6F5EE"/>
      </patternFill>
    </fill>
    <fill>
      <patternFill patternType="solid">
        <fgColor rgb="FFE6F5EE"/>
        <bgColor rgb="FFE6F2FB"/>
      </patternFill>
    </fill>
    <fill>
      <patternFill patternType="solid">
        <fgColor rgb="FFFFF8EC"/>
        <bgColor rgb="FFFFFFFF"/>
      </patternFill>
    </fill>
    <fill>
      <patternFill patternType="solid">
        <fgColor rgb="FFFDEDEC"/>
        <bgColor rgb="FFFFF8EC"/>
      </patternFill>
    </fill>
    <fill>
      <patternFill patternType="solid">
        <fgColor rgb="FF1A2E4A"/>
        <bgColor rgb="FF2C4770"/>
      </patternFill>
    </fill>
    <fill>
      <patternFill patternType="solid">
        <fgColor rgb="FFFFFFFF"/>
        <bgColor rgb="FFFFFEF5"/>
      </patternFill>
    </fill>
    <fill>
      <patternFill patternType="solid">
        <fgColor rgb="FFC9A84C"/>
        <bgColor rgb="FFFF9900"/>
      </patternFill>
    </fill>
    <fill>
      <patternFill patternType="solid">
        <fgColor rgb="FFD6E4F0"/>
        <bgColor rgb="FFE8EFF7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6E4F7"/>
      </patternFill>
    </fill>
    <fill>
      <patternFill patternType="solid">
        <fgColor rgb="FFFFF3CD"/>
        <bgColor indexed="64"/>
      </patternFill>
    </fill>
    <fill>
      <patternFill patternType="solid">
        <fgColor rgb="FFFFFEF5"/>
        <bgColor indexed="64"/>
      </patternFill>
    </fill>
    <fill>
      <patternFill patternType="solid">
        <fgColor rgb="FFFFF2CC"/>
        <bgColor rgb="FFFFFFFF"/>
      </patternFill>
    </fill>
    <fill>
      <patternFill patternType="solid">
        <fgColor rgb="FFF7FBFF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rgb="FFD6E4F7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rgb="FF1C2B3A"/>
      </patternFill>
    </fill>
    <fill>
      <patternFill patternType="solid">
        <fgColor rgb="FFFFF2CC"/>
        <bgColor rgb="FF008080"/>
      </patternFill>
    </fill>
    <fill>
      <patternFill patternType="solid">
        <fgColor rgb="FFFFF2CC"/>
        <bgColor rgb="FFE6F2FB"/>
      </patternFill>
    </fill>
    <fill>
      <patternFill patternType="solid">
        <fgColor rgb="FFFFF2CC"/>
        <bgColor rgb="FFE6F5EE"/>
      </patternFill>
    </fill>
    <fill>
      <patternFill patternType="solid">
        <fgColor rgb="FFF3E8FF"/>
        <bgColor rgb="FFFDEDEC"/>
      </patternFill>
    </fill>
    <fill>
      <patternFill patternType="solid">
        <fgColor rgb="FFFFFF00"/>
        <bgColor rgb="FFD6E4F7"/>
      </patternFill>
    </fill>
  </fills>
  <borders count="25">
    <border>
      <left/>
      <right/>
      <top/>
      <bottom/>
      <diagonal/>
    </border>
    <border>
      <left style="thin">
        <color rgb="FFC8D8E8"/>
      </left>
      <right/>
      <top style="thin">
        <color rgb="FFC8D8E8"/>
      </top>
      <bottom style="thin">
        <color rgb="FFC8D8E8"/>
      </bottom>
      <diagonal/>
    </border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C8D8E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C8D8E8"/>
      </top>
      <bottom style="thin">
        <color rgb="FFC8D8E8"/>
      </bottom>
      <diagonal/>
    </border>
    <border>
      <left/>
      <right style="thin">
        <color rgb="FFC8D8E8"/>
      </right>
      <top style="thin">
        <color rgb="FFC8D8E8"/>
      </top>
      <bottom style="thin">
        <color rgb="FFC8D8E8"/>
      </bottom>
      <diagonal/>
    </border>
    <border>
      <left/>
      <right/>
      <top style="thin">
        <color rgb="FFBFBFBF"/>
      </top>
      <bottom/>
      <diagonal/>
    </border>
  </borders>
  <cellStyleXfs count="4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  <xf numFmtId="0" fontId="19" fillId="0" borderId="0" applyNumberFormat="0" applyFill="0" applyBorder="0" applyAlignment="0" applyProtection="0"/>
  </cellStyleXfs>
  <cellXfs count="228">
    <xf numFmtId="0" fontId="0" fillId="0" borderId="0" xfId="0"/>
    <xf numFmtId="0" fontId="5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0" fontId="0" fillId="0" borderId="2" xfId="0" applyBorder="1"/>
    <xf numFmtId="166" fontId="3" fillId="0" borderId="2" xfId="0" applyNumberFormat="1" applyFont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164" fontId="7" fillId="6" borderId="2" xfId="0" applyNumberFormat="1" applyFont="1" applyFill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0" fontId="2" fillId="7" borderId="2" xfId="0" applyFont="1" applyFill="1" applyBorder="1" applyAlignment="1">
      <alignment horizontal="left" vertical="center"/>
    </xf>
    <xf numFmtId="164" fontId="7" fillId="7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/>
    </xf>
    <xf numFmtId="165" fontId="8" fillId="7" borderId="2" xfId="0" applyNumberFormat="1" applyFont="1" applyFill="1" applyBorder="1" applyAlignment="1">
      <alignment horizontal="right" vertical="center"/>
    </xf>
    <xf numFmtId="165" fontId="7" fillId="6" borderId="2" xfId="0" applyNumberFormat="1" applyFont="1" applyFill="1" applyBorder="1" applyAlignment="1">
      <alignment horizontal="right" vertical="center"/>
    </xf>
    <xf numFmtId="164" fontId="9" fillId="0" borderId="2" xfId="0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165" fontId="7" fillId="7" borderId="2" xfId="0" applyNumberFormat="1" applyFont="1" applyFill="1" applyBorder="1" applyAlignment="1">
      <alignment horizontal="right" vertical="center"/>
    </xf>
    <xf numFmtId="165" fontId="11" fillId="7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167" fontId="3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7" fontId="8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167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7" fontId="8" fillId="4" borderId="2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6" fontId="11" fillId="7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164" fontId="13" fillId="4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right" vertical="center"/>
    </xf>
    <xf numFmtId="165" fontId="3" fillId="6" borderId="2" xfId="0" applyNumberFormat="1" applyFont="1" applyFill="1" applyBorder="1" applyAlignment="1">
      <alignment horizontal="right" vertical="center"/>
    </xf>
    <xf numFmtId="164" fontId="8" fillId="6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 wrapText="1"/>
    </xf>
    <xf numFmtId="168" fontId="8" fillId="0" borderId="2" xfId="0" applyNumberFormat="1" applyFont="1" applyBorder="1" applyAlignment="1">
      <alignment horizontal="right" vertical="center"/>
    </xf>
    <xf numFmtId="49" fontId="5" fillId="4" borderId="2" xfId="0" applyNumberFormat="1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10" borderId="0" xfId="0" applyFill="1"/>
    <xf numFmtId="0" fontId="0" fillId="12" borderId="0" xfId="0" applyFill="1"/>
    <xf numFmtId="0" fontId="0" fillId="11" borderId="0" xfId="0" applyFill="1"/>
    <xf numFmtId="0" fontId="17" fillId="11" borderId="0" xfId="0" applyFont="1" applyFill="1" applyAlignment="1">
      <alignment horizontal="left" vertical="center"/>
    </xf>
    <xf numFmtId="0" fontId="18" fillId="11" borderId="0" xfId="0" applyFont="1" applyFill="1" applyAlignment="1">
      <alignment horizontal="left" vertical="center"/>
    </xf>
    <xf numFmtId="0" fontId="19" fillId="13" borderId="0" xfId="3" applyFill="1" applyAlignment="1">
      <alignment horizontal="left" vertical="center"/>
    </xf>
    <xf numFmtId="0" fontId="20" fillId="11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0" fontId="22" fillId="14" borderId="0" xfId="0" applyFont="1" applyFill="1" applyAlignment="1">
      <alignment horizontal="left" vertical="center"/>
    </xf>
    <xf numFmtId="0" fontId="23" fillId="15" borderId="3" xfId="0" applyFont="1" applyFill="1" applyBorder="1" applyAlignment="1">
      <alignment horizontal="left" vertical="center"/>
    </xf>
    <xf numFmtId="0" fontId="20" fillId="11" borderId="4" xfId="0" applyFont="1" applyFill="1" applyBorder="1" applyAlignment="1">
      <alignment horizontal="left" vertical="center"/>
    </xf>
    <xf numFmtId="0" fontId="20" fillId="13" borderId="4" xfId="0" applyFont="1" applyFill="1" applyBorder="1" applyAlignment="1">
      <alignment horizontal="left" vertical="center"/>
    </xf>
    <xf numFmtId="0" fontId="0" fillId="5" borderId="0" xfId="0" applyFill="1"/>
    <xf numFmtId="0" fontId="22" fillId="14" borderId="0" xfId="0" applyFont="1" applyFill="1" applyAlignment="1">
      <alignment vertical="center"/>
    </xf>
    <xf numFmtId="165" fontId="3" fillId="16" borderId="2" xfId="0" applyNumberFormat="1" applyFont="1" applyFill="1" applyBorder="1" applyAlignment="1">
      <alignment horizontal="right" vertical="center"/>
    </xf>
    <xf numFmtId="165" fontId="3" fillId="17" borderId="2" xfId="0" applyNumberFormat="1" applyFont="1" applyFill="1" applyBorder="1" applyAlignment="1">
      <alignment horizontal="right" vertical="center"/>
    </xf>
    <xf numFmtId="164" fontId="3" fillId="17" borderId="2" xfId="0" applyNumberFormat="1" applyFont="1" applyFill="1" applyBorder="1" applyAlignment="1">
      <alignment horizontal="right" vertical="center"/>
    </xf>
    <xf numFmtId="0" fontId="0" fillId="17" borderId="2" xfId="0" applyFill="1" applyBorder="1"/>
    <xf numFmtId="164" fontId="3" fillId="16" borderId="2" xfId="0" applyNumberFormat="1" applyFont="1" applyFill="1" applyBorder="1" applyAlignment="1">
      <alignment horizontal="right" vertical="center"/>
    </xf>
    <xf numFmtId="0" fontId="0" fillId="16" borderId="2" xfId="0" applyFill="1" applyBorder="1"/>
    <xf numFmtId="166" fontId="3" fillId="17" borderId="2" xfId="0" applyNumberFormat="1" applyFont="1" applyFill="1" applyBorder="1" applyAlignment="1">
      <alignment horizontal="right" vertical="center"/>
    </xf>
    <xf numFmtId="166" fontId="3" fillId="16" borderId="2" xfId="0" applyNumberFormat="1" applyFont="1" applyFill="1" applyBorder="1" applyAlignment="1">
      <alignment horizontal="right" vertical="center"/>
    </xf>
    <xf numFmtId="0" fontId="2" fillId="18" borderId="2" xfId="0" applyFont="1" applyFill="1" applyBorder="1" applyAlignment="1">
      <alignment horizontal="left" vertical="center"/>
    </xf>
    <xf numFmtId="164" fontId="7" fillId="18" borderId="2" xfId="0" applyNumberFormat="1" applyFont="1" applyFill="1" applyBorder="1" applyAlignment="1">
      <alignment horizontal="right" vertical="center"/>
    </xf>
    <xf numFmtId="0" fontId="24" fillId="19" borderId="0" xfId="0" applyFont="1" applyFill="1" applyAlignment="1">
      <alignment horizontal="left" vertical="center"/>
    </xf>
    <xf numFmtId="0" fontId="23" fillId="15" borderId="3" xfId="0" applyFont="1" applyFill="1" applyBorder="1" applyAlignment="1">
      <alignment horizontal="center" vertical="center"/>
    </xf>
    <xf numFmtId="0" fontId="23" fillId="21" borderId="3" xfId="0" applyFont="1" applyFill="1" applyBorder="1" applyAlignment="1">
      <alignment horizontal="center" vertical="center"/>
    </xf>
    <xf numFmtId="0" fontId="25" fillId="2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5" fillId="22" borderId="0" xfId="0" applyFont="1" applyFill="1" applyAlignment="1">
      <alignment vertical="center"/>
    </xf>
    <xf numFmtId="0" fontId="23" fillId="15" borderId="7" xfId="0" applyFont="1" applyFill="1" applyBorder="1" applyAlignment="1">
      <alignment horizontal="left" vertical="center"/>
    </xf>
    <xf numFmtId="0" fontId="26" fillId="18" borderId="2" xfId="0" applyFont="1" applyFill="1" applyBorder="1" applyAlignment="1">
      <alignment horizontal="left" vertical="center"/>
    </xf>
    <xf numFmtId="0" fontId="21" fillId="18" borderId="2" xfId="0" applyFont="1" applyFill="1" applyBorder="1"/>
    <xf numFmtId="164" fontId="26" fillId="18" borderId="2" xfId="0" applyNumberFormat="1" applyFont="1" applyFill="1" applyBorder="1" applyAlignment="1">
      <alignment horizontal="right" vertical="center"/>
    </xf>
    <xf numFmtId="165" fontId="24" fillId="19" borderId="0" xfId="0" applyNumberFormat="1" applyFont="1" applyFill="1" applyAlignment="1">
      <alignment horizontal="right" vertical="center"/>
    </xf>
    <xf numFmtId="0" fontId="5" fillId="23" borderId="2" xfId="0" applyFont="1" applyFill="1" applyBorder="1" applyAlignment="1">
      <alignment horizontal="left" vertical="center"/>
    </xf>
    <xf numFmtId="165" fontId="8" fillId="23" borderId="2" xfId="0" applyNumberFormat="1" applyFont="1" applyFill="1" applyBorder="1" applyAlignment="1">
      <alignment horizontal="right" vertical="center"/>
    </xf>
    <xf numFmtId="164" fontId="8" fillId="23" borderId="2" xfId="0" applyNumberFormat="1" applyFont="1" applyFill="1" applyBorder="1" applyAlignment="1">
      <alignment horizontal="right" vertical="center"/>
    </xf>
    <xf numFmtId="166" fontId="7" fillId="18" borderId="2" xfId="0" applyNumberFormat="1" applyFont="1" applyFill="1" applyBorder="1" applyAlignment="1">
      <alignment horizontal="right" vertical="center"/>
    </xf>
    <xf numFmtId="165" fontId="7" fillId="18" borderId="2" xfId="0" applyNumberFormat="1" applyFont="1" applyFill="1" applyBorder="1" applyAlignment="1">
      <alignment horizontal="right" vertical="center"/>
    </xf>
    <xf numFmtId="0" fontId="10" fillId="0" borderId="2" xfId="0" applyFont="1" applyBorder="1"/>
    <xf numFmtId="0" fontId="10" fillId="0" borderId="2" xfId="0" applyFont="1" applyBorder="1" applyAlignment="1">
      <alignment horizontal="left" vertical="center"/>
    </xf>
    <xf numFmtId="0" fontId="26" fillId="24" borderId="2" xfId="0" applyFont="1" applyFill="1" applyBorder="1" applyAlignment="1">
      <alignment horizontal="left" vertical="center"/>
    </xf>
    <xf numFmtId="0" fontId="21" fillId="24" borderId="2" xfId="0" applyFont="1" applyFill="1" applyBorder="1"/>
    <xf numFmtId="167" fontId="27" fillId="25" borderId="2" xfId="0" applyNumberFormat="1" applyFont="1" applyFill="1" applyBorder="1" applyAlignment="1">
      <alignment horizontal="center" vertical="center"/>
    </xf>
    <xf numFmtId="0" fontId="26" fillId="24" borderId="2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13" fillId="26" borderId="2" xfId="0" applyFont="1" applyFill="1" applyBorder="1" applyAlignment="1">
      <alignment horizontal="right" vertical="center"/>
    </xf>
    <xf numFmtId="0" fontId="3" fillId="26" borderId="2" xfId="0" applyFont="1" applyFill="1" applyBorder="1" applyAlignment="1">
      <alignment horizontal="left" vertical="center" wrapText="1"/>
    </xf>
    <xf numFmtId="49" fontId="26" fillId="27" borderId="2" xfId="0" applyNumberFormat="1" applyFont="1" applyFill="1" applyBorder="1" applyAlignment="1">
      <alignment horizontal="left" vertical="center" wrapText="1"/>
    </xf>
    <xf numFmtId="0" fontId="26" fillId="25" borderId="2" xfId="0" applyFont="1" applyFill="1" applyBorder="1" applyAlignment="1">
      <alignment horizontal="left" vertical="center"/>
    </xf>
    <xf numFmtId="167" fontId="26" fillId="25" borderId="2" xfId="0" applyNumberFormat="1" applyFont="1" applyFill="1" applyBorder="1" applyAlignment="1">
      <alignment horizontal="center" vertical="center"/>
    </xf>
    <xf numFmtId="0" fontId="21" fillId="25" borderId="2" xfId="0" applyFont="1" applyFill="1" applyBorder="1"/>
    <xf numFmtId="0" fontId="28" fillId="11" borderId="11" xfId="0" applyFont="1" applyFill="1" applyBorder="1" applyAlignment="1">
      <alignment horizontal="left" vertical="center"/>
    </xf>
    <xf numFmtId="0" fontId="29" fillId="11" borderId="12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left" vertical="center"/>
    </xf>
    <xf numFmtId="166" fontId="9" fillId="0" borderId="2" xfId="0" applyNumberFormat="1" applyFont="1" applyBorder="1" applyAlignment="1">
      <alignment horizontal="right" vertical="center"/>
    </xf>
    <xf numFmtId="164" fontId="30" fillId="0" borderId="2" xfId="0" applyNumberFormat="1" applyFont="1" applyBorder="1" applyAlignment="1">
      <alignment horizontal="right" vertical="center"/>
    </xf>
    <xf numFmtId="165" fontId="9" fillId="0" borderId="2" xfId="0" applyNumberFormat="1" applyFont="1" applyBorder="1" applyAlignment="1">
      <alignment horizontal="right" vertical="center"/>
    </xf>
    <xf numFmtId="169" fontId="3" fillId="17" borderId="2" xfId="0" applyNumberFormat="1" applyFont="1" applyFill="1" applyBorder="1" applyAlignment="1">
      <alignment horizontal="right" vertical="center"/>
    </xf>
    <xf numFmtId="165" fontId="30" fillId="16" borderId="2" xfId="0" applyNumberFormat="1" applyFont="1" applyFill="1" applyBorder="1" applyAlignment="1">
      <alignment horizontal="right" vertical="center"/>
    </xf>
    <xf numFmtId="0" fontId="0" fillId="6" borderId="2" xfId="0" applyFill="1" applyBorder="1"/>
    <xf numFmtId="0" fontId="0" fillId="7" borderId="2" xfId="0" applyFill="1" applyBorder="1"/>
    <xf numFmtId="0" fontId="2" fillId="28" borderId="2" xfId="0" applyFont="1" applyFill="1" applyBorder="1" applyAlignment="1">
      <alignment horizontal="left" vertical="center"/>
    </xf>
    <xf numFmtId="0" fontId="0" fillId="28" borderId="2" xfId="0" applyFill="1" applyBorder="1"/>
    <xf numFmtId="0" fontId="2" fillId="3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2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164" fontId="8" fillId="9" borderId="2" xfId="0" applyNumberFormat="1" applyFont="1" applyFill="1" applyBorder="1" applyAlignment="1">
      <alignment horizontal="right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left" vertical="center"/>
    </xf>
    <xf numFmtId="164" fontId="8" fillId="8" borderId="2" xfId="0" applyNumberFormat="1" applyFont="1" applyFill="1" applyBorder="1" applyAlignment="1">
      <alignment horizontal="right" vertical="center"/>
    </xf>
    <xf numFmtId="164" fontId="3" fillId="7" borderId="2" xfId="0" applyNumberFormat="1" applyFont="1" applyFill="1" applyBorder="1" applyAlignment="1">
      <alignment horizontal="right" vertical="center"/>
    </xf>
    <xf numFmtId="164" fontId="3" fillId="28" borderId="2" xfId="0" applyNumberFormat="1" applyFont="1" applyFill="1" applyBorder="1" applyAlignment="1">
      <alignment horizontal="right" vertical="center"/>
    </xf>
    <xf numFmtId="164" fontId="8" fillId="28" borderId="2" xfId="0" applyNumberFormat="1" applyFont="1" applyFill="1" applyBorder="1" applyAlignment="1">
      <alignment horizontal="right" vertical="center"/>
    </xf>
    <xf numFmtId="164" fontId="7" fillId="28" borderId="2" xfId="0" applyNumberFormat="1" applyFont="1" applyFill="1" applyBorder="1" applyAlignment="1">
      <alignment horizontal="right" vertical="center"/>
    </xf>
    <xf numFmtId="164" fontId="8" fillId="3" borderId="2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165" fontId="8" fillId="3" borderId="2" xfId="0" applyNumberFormat="1" applyFont="1" applyFill="1" applyBorder="1" applyAlignment="1">
      <alignment horizontal="right" vertical="center"/>
    </xf>
    <xf numFmtId="167" fontId="8" fillId="28" borderId="2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165" fontId="8" fillId="6" borderId="2" xfId="0" applyNumberFormat="1" applyFont="1" applyFill="1" applyBorder="1" applyAlignment="1">
      <alignment horizontal="right" vertical="center"/>
    </xf>
    <xf numFmtId="167" fontId="8" fillId="0" borderId="2" xfId="0" applyNumberFormat="1" applyFont="1" applyBorder="1" applyAlignment="1">
      <alignment horizontal="right" vertical="center"/>
    </xf>
    <xf numFmtId="166" fontId="7" fillId="28" borderId="2" xfId="0" applyNumberFormat="1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left" vertical="center"/>
    </xf>
    <xf numFmtId="167" fontId="8" fillId="8" borderId="2" xfId="0" applyNumberFormat="1" applyFont="1" applyFill="1" applyBorder="1" applyAlignment="1">
      <alignment horizontal="right" vertical="center"/>
    </xf>
    <xf numFmtId="167" fontId="7" fillId="6" borderId="2" xfId="0" applyNumberFormat="1" applyFont="1" applyFill="1" applyBorder="1" applyAlignment="1">
      <alignment horizontal="right" vertical="center"/>
    </xf>
    <xf numFmtId="167" fontId="30" fillId="0" borderId="2" xfId="0" applyNumberFormat="1" applyFont="1" applyBorder="1" applyAlignment="1">
      <alignment horizontal="right" vertical="center"/>
    </xf>
    <xf numFmtId="165" fontId="30" fillId="0" borderId="2" xfId="0" applyNumberFormat="1" applyFont="1" applyBorder="1" applyAlignment="1">
      <alignment horizontal="right" vertical="center"/>
    </xf>
    <xf numFmtId="0" fontId="0" fillId="0" borderId="5" xfId="0" applyBorder="1"/>
    <xf numFmtId="164" fontId="30" fillId="6" borderId="2" xfId="0" applyNumberFormat="1" applyFont="1" applyFill="1" applyBorder="1" applyAlignment="1">
      <alignment horizontal="right" vertical="center"/>
    </xf>
    <xf numFmtId="164" fontId="30" fillId="3" borderId="2" xfId="0" applyNumberFormat="1" applyFont="1" applyFill="1" applyBorder="1" applyAlignment="1">
      <alignment horizontal="right" vertical="center"/>
    </xf>
    <xf numFmtId="164" fontId="30" fillId="7" borderId="2" xfId="0" applyNumberFormat="1" applyFont="1" applyFill="1" applyBorder="1" applyAlignment="1">
      <alignment horizontal="right" vertical="center"/>
    </xf>
    <xf numFmtId="164" fontId="30" fillId="28" borderId="2" xfId="0" applyNumberFormat="1" applyFont="1" applyFill="1" applyBorder="1" applyAlignment="1">
      <alignment horizontal="right" vertical="center"/>
    </xf>
    <xf numFmtId="169" fontId="7" fillId="28" borderId="2" xfId="0" applyNumberFormat="1" applyFont="1" applyFill="1" applyBorder="1" applyAlignment="1">
      <alignment horizontal="right" vertical="center"/>
    </xf>
    <xf numFmtId="169" fontId="7" fillId="7" borderId="2" xfId="0" applyNumberFormat="1" applyFont="1" applyFill="1" applyBorder="1" applyAlignment="1">
      <alignment horizontal="right" vertical="center"/>
    </xf>
    <xf numFmtId="169" fontId="7" fillId="6" borderId="2" xfId="0" applyNumberFormat="1" applyFont="1" applyFill="1" applyBorder="1" applyAlignment="1">
      <alignment horizontal="right" vertical="center"/>
    </xf>
    <xf numFmtId="171" fontId="7" fillId="6" borderId="2" xfId="0" applyNumberFormat="1" applyFont="1" applyFill="1" applyBorder="1" applyAlignment="1">
      <alignment horizontal="right" vertical="center"/>
    </xf>
    <xf numFmtId="171" fontId="8" fillId="0" borderId="2" xfId="0" applyNumberFormat="1" applyFont="1" applyBorder="1" applyAlignment="1">
      <alignment horizontal="right" vertical="center"/>
    </xf>
    <xf numFmtId="167" fontId="3" fillId="8" borderId="2" xfId="0" applyNumberFormat="1" applyFont="1" applyFill="1" applyBorder="1" applyAlignment="1">
      <alignment horizontal="right" vertical="center"/>
    </xf>
    <xf numFmtId="0" fontId="4" fillId="10" borderId="0" xfId="0" applyFont="1" applyFill="1" applyAlignment="1">
      <alignment vertical="center"/>
    </xf>
    <xf numFmtId="0" fontId="4" fillId="10" borderId="24" xfId="0" applyFont="1" applyFill="1" applyBorder="1" applyAlignment="1">
      <alignment vertical="center"/>
    </xf>
    <xf numFmtId="164" fontId="7" fillId="18" borderId="2" xfId="0" applyNumberFormat="1" applyFont="1" applyFill="1" applyBorder="1" applyAlignment="1">
      <alignment horizontal="center" vertical="center"/>
    </xf>
    <xf numFmtId="44" fontId="33" fillId="0" borderId="2" xfId="1" applyFont="1" applyBorder="1" applyAlignment="1">
      <alignment horizontal="right" vertical="center"/>
    </xf>
    <xf numFmtId="171" fontId="33" fillId="0" borderId="2" xfId="1" applyNumberFormat="1" applyFont="1" applyBorder="1" applyAlignment="1">
      <alignment horizontal="right" vertical="center"/>
    </xf>
    <xf numFmtId="0" fontId="23" fillId="29" borderId="3" xfId="0" applyFont="1" applyFill="1" applyBorder="1" applyAlignment="1">
      <alignment horizontal="left" vertical="center"/>
    </xf>
    <xf numFmtId="171" fontId="9" fillId="0" borderId="2" xfId="0" applyNumberFormat="1" applyFont="1" applyBorder="1" applyAlignment="1">
      <alignment horizontal="right" vertical="center"/>
    </xf>
    <xf numFmtId="171" fontId="7" fillId="9" borderId="2" xfId="0" applyNumberFormat="1" applyFont="1" applyFill="1" applyBorder="1" applyAlignment="1">
      <alignment horizontal="right" vertical="center"/>
    </xf>
    <xf numFmtId="0" fontId="0" fillId="16" borderId="0" xfId="0" applyFill="1"/>
    <xf numFmtId="165" fontId="20" fillId="12" borderId="4" xfId="0" applyNumberFormat="1" applyFont="1" applyFill="1" applyBorder="1" applyAlignment="1">
      <alignment horizontal="right" vertical="center"/>
    </xf>
    <xf numFmtId="165" fontId="3" fillId="17" borderId="4" xfId="0" applyNumberFormat="1" applyFont="1" applyFill="1" applyBorder="1" applyAlignment="1">
      <alignment horizontal="right" vertical="center"/>
    </xf>
    <xf numFmtId="172" fontId="3" fillId="17" borderId="4" xfId="0" applyNumberFormat="1" applyFont="1" applyFill="1" applyBorder="1" applyAlignment="1">
      <alignment horizontal="right" vertical="center"/>
    </xf>
    <xf numFmtId="165" fontId="20" fillId="17" borderId="4" xfId="0" applyNumberFormat="1" applyFont="1" applyFill="1" applyBorder="1" applyAlignment="1">
      <alignment horizontal="right" vertical="center"/>
    </xf>
    <xf numFmtId="165" fontId="3" fillId="20" borderId="4" xfId="0" applyNumberFormat="1" applyFont="1" applyFill="1" applyBorder="1" applyAlignment="1">
      <alignment horizontal="right" vertical="center"/>
    </xf>
    <xf numFmtId="165" fontId="20" fillId="20" borderId="4" xfId="0" applyNumberFormat="1" applyFont="1" applyFill="1" applyBorder="1" applyAlignment="1">
      <alignment horizontal="right" vertical="center"/>
    </xf>
    <xf numFmtId="0" fontId="34" fillId="13" borderId="4" xfId="0" applyFont="1" applyFill="1" applyBorder="1" applyAlignment="1">
      <alignment horizontal="left" vertical="center"/>
    </xf>
    <xf numFmtId="0" fontId="35" fillId="0" borderId="0" xfId="0" applyFont="1"/>
    <xf numFmtId="164" fontId="36" fillId="6" borderId="2" xfId="0" applyNumberFormat="1" applyFont="1" applyFill="1" applyBorder="1" applyAlignment="1">
      <alignment horizontal="right" vertical="center"/>
    </xf>
    <xf numFmtId="171" fontId="9" fillId="4" borderId="2" xfId="0" applyNumberFormat="1" applyFont="1" applyFill="1" applyBorder="1" applyAlignment="1">
      <alignment horizontal="left" vertical="center" wrapText="1"/>
    </xf>
    <xf numFmtId="171" fontId="9" fillId="3" borderId="2" xfId="0" applyNumberFormat="1" applyFont="1" applyFill="1" applyBorder="1" applyAlignment="1">
      <alignment horizontal="left" vertical="center" wrapText="1"/>
    </xf>
    <xf numFmtId="170" fontId="33" fillId="0" borderId="2" xfId="2" applyNumberFormat="1" applyFont="1" applyBorder="1" applyAlignment="1">
      <alignment horizontal="right" vertical="center" wrapText="1"/>
    </xf>
    <xf numFmtId="165" fontId="30" fillId="3" borderId="2" xfId="0" applyNumberFormat="1" applyFont="1" applyFill="1" applyBorder="1" applyAlignment="1">
      <alignment horizontal="right" vertical="center"/>
    </xf>
    <xf numFmtId="165" fontId="30" fillId="4" borderId="2" xfId="0" applyNumberFormat="1" applyFont="1" applyFill="1" applyBorder="1" applyAlignment="1">
      <alignment horizontal="right" vertical="center"/>
    </xf>
    <xf numFmtId="49" fontId="30" fillId="4" borderId="2" xfId="0" applyNumberFormat="1" applyFont="1" applyFill="1" applyBorder="1" applyAlignment="1">
      <alignment horizontal="right" vertical="center"/>
    </xf>
    <xf numFmtId="1" fontId="1" fillId="0" borderId="2" xfId="1" applyNumberFormat="1" applyBorder="1" applyAlignment="1">
      <alignment horizontal="right" vertical="center"/>
    </xf>
    <xf numFmtId="1" fontId="8" fillId="0" borderId="2" xfId="0" applyNumberFormat="1" applyFont="1" applyBorder="1" applyAlignment="1">
      <alignment horizontal="right" vertical="center"/>
    </xf>
    <xf numFmtId="171" fontId="9" fillId="26" borderId="2" xfId="0" applyNumberFormat="1" applyFont="1" applyFill="1" applyBorder="1" applyAlignment="1">
      <alignment horizontal="right" vertical="center"/>
    </xf>
    <xf numFmtId="49" fontId="28" fillId="27" borderId="2" xfId="0" applyNumberFormat="1" applyFont="1" applyFill="1" applyBorder="1" applyAlignment="1">
      <alignment horizontal="center" vertical="center" wrapText="1"/>
    </xf>
    <xf numFmtId="164" fontId="28" fillId="27" borderId="2" xfId="0" applyNumberFormat="1" applyFont="1" applyFill="1" applyBorder="1" applyAlignment="1">
      <alignment horizontal="center" vertical="center" wrapText="1"/>
    </xf>
    <xf numFmtId="165" fontId="28" fillId="27" borderId="2" xfId="0" applyNumberFormat="1" applyFont="1" applyFill="1" applyBorder="1" applyAlignment="1">
      <alignment horizontal="center" vertical="center" wrapText="1"/>
    </xf>
    <xf numFmtId="49" fontId="28" fillId="27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0" fontId="37" fillId="26" borderId="2" xfId="0" applyFont="1" applyFill="1" applyBorder="1" applyAlignment="1">
      <alignment horizontal="center" vertical="center" wrapText="1"/>
    </xf>
    <xf numFmtId="0" fontId="38" fillId="10" borderId="0" xfId="0" applyFont="1" applyFill="1"/>
    <xf numFmtId="15" fontId="18" fillId="11" borderId="0" xfId="0" applyNumberFormat="1" applyFont="1" applyFill="1" applyAlignment="1">
      <alignment horizontal="left" vertical="center"/>
    </xf>
    <xf numFmtId="0" fontId="18" fillId="11" borderId="0" xfId="0" applyFont="1" applyFill="1" applyAlignment="1">
      <alignment horizontal="left" vertical="center"/>
    </xf>
    <xf numFmtId="0" fontId="15" fillId="11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left" vertical="center"/>
    </xf>
    <xf numFmtId="0" fontId="22" fillId="14" borderId="0" xfId="0" applyFont="1" applyFill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4" fillId="10" borderId="14" xfId="0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left" vertical="center"/>
    </xf>
    <xf numFmtId="0" fontId="8" fillId="11" borderId="20" xfId="0" applyFont="1" applyFill="1" applyBorder="1" applyAlignment="1">
      <alignment horizontal="left" vertical="center"/>
    </xf>
    <xf numFmtId="0" fontId="8" fillId="11" borderId="15" xfId="0" applyFont="1" applyFill="1" applyBorder="1" applyAlignment="1">
      <alignment horizontal="left" vertical="center"/>
    </xf>
    <xf numFmtId="0" fontId="8" fillId="11" borderId="16" xfId="0" applyFont="1" applyFill="1" applyBorder="1" applyAlignment="1">
      <alignment horizontal="left" vertical="center"/>
    </xf>
    <xf numFmtId="0" fontId="8" fillId="11" borderId="13" xfId="0" applyFont="1" applyFill="1" applyBorder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8" fillId="11" borderId="17" xfId="0" applyFont="1" applyFill="1" applyBorder="1" applyAlignment="1">
      <alignment horizontal="left" vertical="center"/>
    </xf>
    <xf numFmtId="0" fontId="8" fillId="11" borderId="21" xfId="0" applyFont="1" applyFill="1" applyBorder="1" applyAlignment="1">
      <alignment horizontal="left" vertical="center"/>
    </xf>
    <xf numFmtId="0" fontId="8" fillId="11" borderId="18" xfId="0" applyFont="1" applyFill="1" applyBorder="1" applyAlignment="1">
      <alignment horizontal="left" vertical="center"/>
    </xf>
    <xf numFmtId="0" fontId="8" fillId="11" borderId="19" xfId="0" applyFont="1" applyFill="1" applyBorder="1" applyAlignment="1">
      <alignment horizontal="left" vertical="center"/>
    </xf>
    <xf numFmtId="0" fontId="25" fillId="2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22" fillId="14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3">
    <dxf>
      <font>
        <b/>
        <i val="0"/>
        <color theme="9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theme="9"/>
      </font>
    </dxf>
    <dxf>
      <font>
        <b/>
        <i val="0"/>
        <color rgb="FFFF0000"/>
      </font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8899"/>
      <rgbColor rgb="FF9999FF"/>
      <rgbColor rgb="FF993366"/>
      <rgbColor rgb="FFFFF8EC"/>
      <rgbColor rgb="FFE6F5EE"/>
      <rgbColor rgb="FF660066"/>
      <rgbColor rgb="FFFF8080"/>
      <rgbColor rgb="FF0077CC"/>
      <rgbColor rgb="FFC8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2FB"/>
      <rgbColor rgb="FFF3F7F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1628"/>
      <rgbColor rgb="FF333300"/>
      <rgbColor rgb="FF993300"/>
      <rgbColor rgb="FF993366"/>
      <rgbColor rgb="FF333399"/>
      <rgbColor rgb="FF1C2B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  <color rgb="FFFFF2CC"/>
      <color rgb="FF0000FF"/>
      <color rgb="FFFFFEF5"/>
      <color rgb="FF92CDDC"/>
      <color rgb="FFFFFFFF"/>
      <color rgb="FFE6F2FB"/>
      <color rgb="FFD6E4F7"/>
      <color rgb="FF336699"/>
      <color rgb="FFF7F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BC21-9CA8-461B-BAE1-CAD94FA9494A}">
  <sheetPr codeName="Sheet1">
    <tabColor rgb="FF1A2E4A"/>
    <pageSetUpPr fitToPage="1"/>
  </sheetPr>
  <dimension ref="A1:J35"/>
  <sheetViews>
    <sheetView showGridLines="0" tabSelected="1" zoomScaleNormal="100" workbookViewId="0">
      <selection activeCell="C10" sqref="C10:I10"/>
    </sheetView>
  </sheetViews>
  <sheetFormatPr defaultColWidth="8.6328125" defaultRowHeight="14.5" x14ac:dyDescent="0.35"/>
  <cols>
    <col min="1" max="1" width="4.6328125" customWidth="1"/>
    <col min="2" max="2" width="20.7265625" customWidth="1"/>
    <col min="3" max="9" width="14" customWidth="1"/>
    <col min="10" max="10" width="4" customWidth="1"/>
  </cols>
  <sheetData>
    <row r="1" spans="1:10" ht="18" customHeight="1" x14ac:dyDescent="0.35">
      <c r="A1" s="57"/>
      <c r="B1" s="57"/>
      <c r="C1" s="57"/>
      <c r="D1" s="57"/>
      <c r="E1" s="57"/>
      <c r="F1" s="57"/>
      <c r="G1" s="57"/>
      <c r="H1" s="57"/>
      <c r="I1" s="57"/>
      <c r="J1" s="57"/>
    </row>
    <row r="2" spans="1:10" ht="18" customHeight="1" x14ac:dyDescent="0.35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10" ht="14" customHeight="1" x14ac:dyDescent="0.35">
      <c r="A3" s="57"/>
      <c r="B3" s="202" t="s">
        <v>306</v>
      </c>
      <c r="C3" s="202"/>
      <c r="D3" s="202"/>
      <c r="E3" s="202"/>
      <c r="F3" s="202"/>
      <c r="G3" s="202"/>
      <c r="H3" s="202"/>
      <c r="I3" s="202"/>
      <c r="J3" s="57"/>
    </row>
    <row r="4" spans="1:10" ht="14" customHeight="1" x14ac:dyDescent="0.35">
      <c r="A4" s="57"/>
      <c r="B4" s="202"/>
      <c r="C4" s="202"/>
      <c r="D4" s="202"/>
      <c r="E4" s="202"/>
      <c r="F4" s="202"/>
      <c r="G4" s="202"/>
      <c r="H4" s="202"/>
      <c r="I4" s="202"/>
      <c r="J4" s="57"/>
    </row>
    <row r="5" spans="1:10" ht="14" customHeight="1" x14ac:dyDescent="0.35">
      <c r="A5" s="57"/>
      <c r="B5" s="202"/>
      <c r="C5" s="202"/>
      <c r="D5" s="202"/>
      <c r="E5" s="202"/>
      <c r="F5" s="202"/>
      <c r="G5" s="202"/>
      <c r="H5" s="202"/>
      <c r="I5" s="202"/>
      <c r="J5" s="57"/>
    </row>
    <row r="6" spans="1:10" ht="12" customHeight="1" x14ac:dyDescent="0.35">
      <c r="A6" s="57"/>
      <c r="B6" s="203" t="s">
        <v>307</v>
      </c>
      <c r="C6" s="203"/>
      <c r="D6" s="203"/>
      <c r="E6" s="203"/>
      <c r="F6" s="203"/>
      <c r="G6" s="203"/>
      <c r="H6" s="203"/>
      <c r="I6" s="203"/>
      <c r="J6" s="57"/>
    </row>
    <row r="7" spans="1:10" ht="12" customHeight="1" x14ac:dyDescent="0.35">
      <c r="A7" s="57"/>
      <c r="B7" s="203"/>
      <c r="C7" s="203"/>
      <c r="D7" s="203"/>
      <c r="E7" s="203"/>
      <c r="F7" s="203"/>
      <c r="G7" s="203"/>
      <c r="H7" s="203"/>
      <c r="I7" s="203"/>
      <c r="J7" s="57"/>
    </row>
    <row r="8" spans="1:10" ht="3.75" customHeight="1" x14ac:dyDescent="0.35">
      <c r="A8" s="57"/>
      <c r="B8" s="58"/>
      <c r="C8" s="58"/>
      <c r="D8" s="58"/>
      <c r="E8" s="58"/>
      <c r="F8" s="58"/>
      <c r="G8" s="58"/>
      <c r="H8" s="58"/>
      <c r="I8" s="58"/>
      <c r="J8" s="57"/>
    </row>
    <row r="9" spans="1:10" ht="18" customHeight="1" x14ac:dyDescent="0.35">
      <c r="A9" s="57"/>
      <c r="B9" s="59"/>
      <c r="C9" s="59"/>
      <c r="D9" s="59"/>
      <c r="E9" s="59"/>
      <c r="F9" s="59"/>
      <c r="G9" s="59"/>
      <c r="H9" s="59"/>
      <c r="I9" s="59"/>
      <c r="J9" s="57"/>
    </row>
    <row r="10" spans="1:10" ht="19.5" customHeight="1" x14ac:dyDescent="0.35">
      <c r="A10" s="57"/>
      <c r="B10" s="60" t="s">
        <v>298</v>
      </c>
      <c r="C10" s="201" t="s">
        <v>306</v>
      </c>
      <c r="D10" s="201"/>
      <c r="E10" s="201"/>
      <c r="F10" s="201"/>
      <c r="G10" s="201"/>
      <c r="H10" s="201"/>
      <c r="I10" s="201"/>
      <c r="J10" s="57"/>
    </row>
    <row r="11" spans="1:10" ht="19.5" customHeight="1" x14ac:dyDescent="0.35">
      <c r="A11" s="57"/>
      <c r="B11" s="60" t="s">
        <v>299</v>
      </c>
      <c r="C11" s="201" t="s">
        <v>311</v>
      </c>
      <c r="D11" s="201"/>
      <c r="E11" s="201"/>
      <c r="F11" s="201"/>
      <c r="G11" s="201"/>
      <c r="H11" s="201"/>
      <c r="I11" s="201"/>
      <c r="J11" s="57"/>
    </row>
    <row r="12" spans="1:10" ht="19.5" customHeight="1" x14ac:dyDescent="0.35">
      <c r="A12" s="57"/>
      <c r="B12" s="60" t="s">
        <v>310</v>
      </c>
      <c r="C12" s="201" t="s">
        <v>312</v>
      </c>
      <c r="D12" s="201"/>
      <c r="E12" s="201"/>
      <c r="F12" s="201"/>
      <c r="G12" s="201"/>
      <c r="H12" s="201"/>
      <c r="I12" s="201"/>
      <c r="J12" s="57"/>
    </row>
    <row r="13" spans="1:10" ht="19.5" customHeight="1" x14ac:dyDescent="0.35">
      <c r="A13" s="57"/>
      <c r="B13" s="60" t="s">
        <v>309</v>
      </c>
      <c r="C13" s="201" t="s">
        <v>0</v>
      </c>
      <c r="D13" s="201"/>
      <c r="E13" s="201"/>
      <c r="F13" s="201"/>
      <c r="G13" s="201"/>
      <c r="H13" s="201"/>
      <c r="I13" s="201"/>
      <c r="J13" s="57"/>
    </row>
    <row r="14" spans="1:10" ht="19.5" customHeight="1" x14ac:dyDescent="0.35">
      <c r="A14" s="57"/>
      <c r="B14" s="60" t="s">
        <v>300</v>
      </c>
      <c r="C14" s="201" t="s">
        <v>301</v>
      </c>
      <c r="D14" s="201"/>
      <c r="E14" s="201"/>
      <c r="F14" s="201"/>
      <c r="G14" s="201"/>
      <c r="H14" s="201"/>
      <c r="I14" s="201"/>
      <c r="J14" s="57"/>
    </row>
    <row r="15" spans="1:10" ht="19.5" customHeight="1" x14ac:dyDescent="0.35">
      <c r="A15" s="57"/>
      <c r="B15" s="60" t="s">
        <v>302</v>
      </c>
      <c r="C15" s="61" t="s">
        <v>308</v>
      </c>
      <c r="D15" s="61"/>
      <c r="E15" s="61"/>
      <c r="F15" s="61"/>
      <c r="G15" s="61"/>
      <c r="H15" s="61"/>
      <c r="I15" s="61"/>
      <c r="J15" s="57"/>
    </row>
    <row r="16" spans="1:10" ht="19.5" customHeight="1" x14ac:dyDescent="0.35">
      <c r="A16" s="57"/>
      <c r="B16" s="60" t="s">
        <v>303</v>
      </c>
      <c r="C16" s="200">
        <v>46102</v>
      </c>
      <c r="D16" s="201"/>
      <c r="E16" s="201"/>
      <c r="F16" s="201"/>
      <c r="G16" s="201"/>
      <c r="H16" s="201"/>
      <c r="I16" s="201"/>
      <c r="J16" s="57"/>
    </row>
    <row r="17" spans="1:10" ht="19.5" customHeight="1" x14ac:dyDescent="0.35">
      <c r="A17" s="57"/>
      <c r="B17" s="60" t="s">
        <v>304</v>
      </c>
      <c r="C17" s="61" t="s">
        <v>323</v>
      </c>
      <c r="D17" s="61"/>
      <c r="E17" s="61"/>
      <c r="F17" s="61"/>
      <c r="G17" s="61"/>
      <c r="H17" s="61"/>
      <c r="I17" s="61"/>
      <c r="J17" s="57"/>
    </row>
    <row r="18" spans="1:10" ht="19.5" customHeight="1" x14ac:dyDescent="0.35">
      <c r="A18" s="57"/>
      <c r="B18" s="60" t="s">
        <v>313</v>
      </c>
      <c r="C18" s="61" t="s">
        <v>1</v>
      </c>
      <c r="D18" s="61"/>
      <c r="E18" s="61"/>
      <c r="F18" s="61"/>
      <c r="G18" s="61"/>
      <c r="H18" s="61"/>
      <c r="I18" s="61"/>
      <c r="J18" s="57"/>
    </row>
    <row r="19" spans="1:10" ht="19.5" customHeight="1" x14ac:dyDescent="0.35">
      <c r="A19" s="57"/>
      <c r="B19" s="57"/>
      <c r="C19" s="57"/>
      <c r="D19" s="57"/>
      <c r="E19" s="57"/>
      <c r="F19" s="57"/>
      <c r="G19" s="57"/>
      <c r="H19" s="57"/>
      <c r="I19" s="57"/>
      <c r="J19" s="57"/>
    </row>
    <row r="20" spans="1:10" ht="18" customHeight="1" x14ac:dyDescent="0.35">
      <c r="A20" s="57"/>
      <c r="B20" s="64" t="s">
        <v>305</v>
      </c>
      <c r="C20" s="64"/>
      <c r="D20" s="64"/>
      <c r="E20" s="64"/>
      <c r="F20" s="64"/>
      <c r="G20" s="64"/>
      <c r="H20" s="64"/>
      <c r="I20" s="64"/>
      <c r="J20" s="57"/>
    </row>
    <row r="21" spans="1:10" ht="18" customHeight="1" x14ac:dyDescent="0.35">
      <c r="A21" s="199"/>
      <c r="B21" s="62" t="str">
        <f>HYPERLINK("#'Assumptions'!A4","Assumptions")</f>
        <v>Assumptions</v>
      </c>
      <c r="C21" s="204" t="s">
        <v>510</v>
      </c>
      <c r="D21" s="204"/>
      <c r="E21" s="204"/>
      <c r="F21" s="204"/>
      <c r="G21" s="204"/>
      <c r="H21" s="204"/>
      <c r="I21" s="204"/>
      <c r="J21" s="57"/>
    </row>
    <row r="22" spans="1:10" ht="18" customHeight="1" x14ac:dyDescent="0.35">
      <c r="A22" s="199"/>
      <c r="B22" s="62" t="str">
        <f>HYPERLINK("#'Financials (Annual)'!A4","Financials (Annual)")</f>
        <v>Financials (Annual)</v>
      </c>
      <c r="C22" s="204" t="s">
        <v>483</v>
      </c>
      <c r="D22" s="204"/>
      <c r="E22" s="204"/>
      <c r="F22" s="204"/>
      <c r="G22" s="204"/>
      <c r="H22" s="204"/>
      <c r="I22" s="204"/>
      <c r="J22" s="57"/>
    </row>
    <row r="23" spans="1:10" ht="18" customHeight="1" x14ac:dyDescent="0.35">
      <c r="A23" s="199"/>
      <c r="B23" s="62" t="str">
        <f>HYPERLINK("#'Revenue (Monthly)'!A4","Revenue (Monthly)")</f>
        <v>Revenue (Monthly)</v>
      </c>
      <c r="C23" s="204" t="s">
        <v>484</v>
      </c>
      <c r="D23" s="204"/>
      <c r="E23" s="204"/>
      <c r="F23" s="204"/>
      <c r="G23" s="204"/>
      <c r="H23" s="204"/>
      <c r="I23" s="204"/>
      <c r="J23" s="57"/>
    </row>
    <row r="24" spans="1:10" ht="18" customHeight="1" x14ac:dyDescent="0.35">
      <c r="A24" s="199"/>
      <c r="B24" s="62" t="str">
        <f>HYPERLINK("#'Cohort Analysis (Y2026)'!A4","Cohort Analysis (Y2026)")</f>
        <v>Cohort Analysis (Y2026)</v>
      </c>
      <c r="C24" s="204" t="s">
        <v>485</v>
      </c>
      <c r="D24" s="204"/>
      <c r="E24" s="204"/>
      <c r="F24" s="204"/>
      <c r="G24" s="204"/>
      <c r="H24" s="204"/>
      <c r="I24" s="204"/>
      <c r="J24" s="57"/>
    </row>
    <row r="25" spans="1:10" ht="18" customHeight="1" x14ac:dyDescent="0.35">
      <c r="A25" s="199"/>
      <c r="B25" s="62" t="str">
        <f>HYPERLINK("#'Valuation'!A4","Valuation")</f>
        <v>Valuation</v>
      </c>
      <c r="C25" s="204" t="s">
        <v>3</v>
      </c>
      <c r="D25" s="204"/>
      <c r="E25" s="204"/>
      <c r="F25" s="204"/>
      <c r="G25" s="204"/>
      <c r="H25" s="204"/>
      <c r="I25" s="204"/>
      <c r="J25" s="57"/>
    </row>
    <row r="26" spans="1:10" ht="18" customHeight="1" x14ac:dyDescent="0.35">
      <c r="A26" s="199"/>
      <c r="B26" s="62" t="str">
        <f>HYPERLINK("#'Return Modelling'!A4","Return Modelling")</f>
        <v>Return Modelling</v>
      </c>
      <c r="C26" s="204" t="s">
        <v>4</v>
      </c>
      <c r="D26" s="204"/>
      <c r="E26" s="204"/>
      <c r="F26" s="204"/>
      <c r="G26" s="204"/>
      <c r="H26" s="204"/>
      <c r="I26" s="204"/>
      <c r="J26" s="57"/>
    </row>
    <row r="27" spans="1:10" ht="18" customHeight="1" x14ac:dyDescent="0.35">
      <c r="A27" s="199"/>
      <c r="B27" s="62" t="str">
        <f>HYPERLINK("#'Credit &amp; Risk'!A4","Credit &amp; Risk")</f>
        <v>Credit &amp; Risk</v>
      </c>
      <c r="C27" s="204" t="s">
        <v>5</v>
      </c>
      <c r="D27" s="204"/>
      <c r="E27" s="204"/>
      <c r="F27" s="204"/>
      <c r="G27" s="204"/>
      <c r="H27" s="204"/>
      <c r="I27" s="204"/>
      <c r="J27" s="57"/>
    </row>
    <row r="28" spans="1:10" ht="18" customHeight="1" x14ac:dyDescent="0.35">
      <c r="A28" s="199"/>
      <c r="B28" s="62" t="str">
        <f>HYPERLINK("#'Deal Structuring'!A4","Deal Structuring")</f>
        <v>Deal Structuring</v>
      </c>
      <c r="C28" s="204" t="s">
        <v>6</v>
      </c>
      <c r="D28" s="204"/>
      <c r="E28" s="204"/>
      <c r="F28" s="204"/>
      <c r="G28" s="204"/>
      <c r="H28" s="204"/>
      <c r="I28" s="204"/>
      <c r="J28" s="57"/>
    </row>
    <row r="29" spans="1:10" ht="18" customHeight="1" x14ac:dyDescent="0.35">
      <c r="A29" s="199"/>
      <c r="B29" s="62" t="str">
        <f>HYPERLINK("#'Market Sizing'!A4","Market Sizing")</f>
        <v>Market Sizing</v>
      </c>
      <c r="C29" s="63" t="s">
        <v>7</v>
      </c>
      <c r="D29" s="63"/>
      <c r="E29" s="63"/>
      <c r="F29" s="63"/>
      <c r="G29" s="63"/>
      <c r="H29" s="63"/>
      <c r="I29" s="63"/>
      <c r="J29" s="57"/>
    </row>
    <row r="30" spans="1:10" ht="18" customHeight="1" x14ac:dyDescent="0.35">
      <c r="A30" s="199"/>
      <c r="B30" s="62" t="str">
        <f>HYPERLINK("#'Competitive'!A4","Competitive")</f>
        <v>Competitive</v>
      </c>
      <c r="C30" s="63" t="s">
        <v>8</v>
      </c>
      <c r="D30" s="63"/>
      <c r="E30" s="63"/>
      <c r="F30" s="63"/>
      <c r="G30" s="63"/>
      <c r="H30" s="63"/>
      <c r="I30" s="63"/>
      <c r="J30" s="57"/>
    </row>
    <row r="31" spans="1:10" ht="18" customHeight="1" x14ac:dyDescent="0.35">
      <c r="A31" s="199"/>
      <c r="B31" s="62" t="str">
        <f>HYPERLINK("#'Deal Assessment'!A4","Deal Assessment")</f>
        <v>Deal Assessment</v>
      </c>
      <c r="C31" s="63" t="s">
        <v>9</v>
      </c>
      <c r="D31" s="63"/>
      <c r="E31" s="63"/>
      <c r="F31" s="63"/>
      <c r="G31" s="63"/>
      <c r="H31" s="63"/>
      <c r="I31" s="63"/>
      <c r="J31" s="57"/>
    </row>
    <row r="32" spans="1:10" ht="18" customHeight="1" x14ac:dyDescent="0.35">
      <c r="A32" s="57"/>
      <c r="B32" s="57"/>
      <c r="C32" s="57"/>
      <c r="D32" s="57"/>
      <c r="E32" s="57"/>
      <c r="F32" s="57"/>
      <c r="G32" s="57"/>
      <c r="H32" s="57"/>
      <c r="I32" s="57"/>
      <c r="J32" s="57"/>
    </row>
    <row r="33" spans="1:10" x14ac:dyDescent="0.35">
      <c r="A33" s="57"/>
      <c r="B33" s="57"/>
      <c r="C33" s="57"/>
      <c r="D33" s="57"/>
      <c r="E33" s="57"/>
      <c r="F33" s="57"/>
      <c r="G33" s="57"/>
      <c r="H33" s="57"/>
      <c r="I33" s="57"/>
      <c r="J33" s="57"/>
    </row>
    <row r="34" spans="1:10" x14ac:dyDescent="0.35">
      <c r="A34" s="57"/>
      <c r="B34" s="57"/>
      <c r="C34" s="57"/>
      <c r="D34" s="57"/>
      <c r="E34" s="57"/>
      <c r="F34" s="57"/>
      <c r="G34" s="57"/>
      <c r="H34" s="57"/>
      <c r="I34" s="57"/>
      <c r="J34" s="57"/>
    </row>
    <row r="35" spans="1:10" x14ac:dyDescent="0.35">
      <c r="A35" s="57"/>
      <c r="B35" s="57"/>
      <c r="C35" s="57"/>
      <c r="D35" s="57"/>
      <c r="E35" s="57"/>
      <c r="F35" s="57"/>
      <c r="G35" s="57"/>
      <c r="H35" s="57"/>
      <c r="I35" s="57"/>
      <c r="J35" s="57"/>
    </row>
  </sheetData>
  <mergeCells count="16">
    <mergeCell ref="C21:I21"/>
    <mergeCell ref="C22:I22"/>
    <mergeCell ref="C23:I23"/>
    <mergeCell ref="C28:I28"/>
    <mergeCell ref="C24:I24"/>
    <mergeCell ref="C25:I25"/>
    <mergeCell ref="C26:I26"/>
    <mergeCell ref="C27:I27"/>
    <mergeCell ref="C16:I16"/>
    <mergeCell ref="B3:I5"/>
    <mergeCell ref="B6:I7"/>
    <mergeCell ref="C10:I10"/>
    <mergeCell ref="C11:I11"/>
    <mergeCell ref="C12:I12"/>
    <mergeCell ref="C14:I14"/>
    <mergeCell ref="C13:I13"/>
  </mergeCells>
  <pageMargins left="0.5" right="0.5" top="0.75" bottom="0.7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1A2E4A"/>
  </sheetPr>
  <dimension ref="B1:L52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34" customWidth="1"/>
    <col min="3" max="3" width="16" customWidth="1"/>
    <col min="4" max="4" width="22" customWidth="1"/>
    <col min="5" max="8" width="14" customWidth="1"/>
    <col min="9" max="9" width="14" hidden="1" customWidth="1"/>
    <col min="10" max="10" width="14" customWidth="1"/>
    <col min="11" max="11" width="23.54296875" bestFit="1" customWidth="1"/>
    <col min="13" max="13" width="23.54296875" bestFit="1" customWidth="1"/>
  </cols>
  <sheetData>
    <row r="1" spans="2:12" ht="27.75" customHeight="1" x14ac:dyDescent="0.35">
      <c r="B1" s="205" t="s">
        <v>10</v>
      </c>
      <c r="C1" s="205"/>
      <c r="D1" s="205"/>
      <c r="E1" s="205"/>
      <c r="F1" s="205"/>
      <c r="G1" s="205"/>
      <c r="H1" s="205"/>
      <c r="I1" s="205"/>
    </row>
    <row r="2" spans="2:12" ht="7.5" customHeight="1" x14ac:dyDescent="0.35">
      <c r="B2" s="218"/>
      <c r="C2" s="218"/>
      <c r="D2" s="218"/>
      <c r="E2" s="218"/>
      <c r="F2" s="218"/>
      <c r="G2" s="218"/>
      <c r="H2" s="84"/>
      <c r="I2" s="84"/>
    </row>
    <row r="3" spans="2:12" ht="18" customHeight="1" x14ac:dyDescent="0.35">
      <c r="B3" s="66" t="s">
        <v>11</v>
      </c>
      <c r="C3" s="66"/>
      <c r="D3" s="66"/>
      <c r="E3" s="82" t="s">
        <v>38</v>
      </c>
      <c r="F3" s="82" t="s">
        <v>39</v>
      </c>
      <c r="G3" s="83" t="s">
        <v>40</v>
      </c>
      <c r="H3" s="83" t="s">
        <v>41</v>
      </c>
      <c r="I3" s="83" t="s">
        <v>42</v>
      </c>
    </row>
    <row r="4" spans="2:12" ht="15.75" customHeight="1" x14ac:dyDescent="0.35">
      <c r="B4" s="160" t="s">
        <v>12</v>
      </c>
      <c r="C4" s="160"/>
      <c r="D4" s="160"/>
      <c r="E4" s="160"/>
      <c r="F4" s="160"/>
      <c r="G4" s="160"/>
      <c r="H4" s="160"/>
      <c r="I4" s="160"/>
      <c r="K4" s="164" t="s">
        <v>440</v>
      </c>
      <c r="L4" s="164" t="s">
        <v>443</v>
      </c>
    </row>
    <row r="5" spans="2:12" ht="16.5" customHeight="1" x14ac:dyDescent="0.35">
      <c r="B5" s="67" t="s">
        <v>324</v>
      </c>
      <c r="C5" s="67"/>
      <c r="D5" s="67"/>
      <c r="E5" s="117">
        <v>15000</v>
      </c>
      <c r="F5" s="117"/>
      <c r="G5" s="117"/>
      <c r="H5" s="117"/>
      <c r="I5" s="73"/>
      <c r="K5" s="148" t="s">
        <v>441</v>
      </c>
      <c r="L5" s="148">
        <v>1</v>
      </c>
    </row>
    <row r="6" spans="2:12" ht="16.5" customHeight="1" x14ac:dyDescent="0.35">
      <c r="B6" s="68" t="s">
        <v>453</v>
      </c>
      <c r="C6" s="68"/>
      <c r="D6" s="68"/>
      <c r="E6" s="71"/>
      <c r="F6" s="71">
        <v>0.4</v>
      </c>
      <c r="G6" s="71">
        <v>0.4</v>
      </c>
      <c r="H6" s="71">
        <v>0.4</v>
      </c>
      <c r="I6" s="71">
        <v>0.4</v>
      </c>
    </row>
    <row r="7" spans="2:12" ht="16.5" customHeight="1" x14ac:dyDescent="0.35">
      <c r="B7" s="68" t="s">
        <v>13</v>
      </c>
      <c r="C7" s="68"/>
      <c r="D7" s="68"/>
      <c r="E7" s="118">
        <f>1-E11</f>
        <v>0.6</v>
      </c>
      <c r="F7" s="118">
        <f t="shared" ref="F7:I7" si="0">1-F11</f>
        <v>0.65</v>
      </c>
      <c r="G7" s="118">
        <f t="shared" si="0"/>
        <v>0.66999999999999993</v>
      </c>
      <c r="H7" s="118">
        <f t="shared" si="0"/>
        <v>0.7</v>
      </c>
      <c r="I7" s="118">
        <f t="shared" si="0"/>
        <v>0.7</v>
      </c>
    </row>
    <row r="8" spans="2:12" ht="16.5" customHeight="1" x14ac:dyDescent="0.35">
      <c r="B8" s="67" t="s">
        <v>14</v>
      </c>
      <c r="C8" s="67"/>
      <c r="D8" s="67"/>
      <c r="E8" s="72"/>
      <c r="F8" s="72"/>
      <c r="G8" s="72"/>
      <c r="H8" s="72"/>
      <c r="I8" s="72"/>
    </row>
    <row r="9" spans="2:12" ht="7.5" customHeight="1" x14ac:dyDescent="0.35"/>
    <row r="10" spans="2:12" ht="15.75" customHeight="1" x14ac:dyDescent="0.35">
      <c r="B10" s="159" t="s">
        <v>15</v>
      </c>
      <c r="C10" s="159"/>
      <c r="D10" s="159"/>
      <c r="E10" s="159"/>
      <c r="F10" s="159"/>
      <c r="G10" s="159"/>
      <c r="H10" s="159"/>
      <c r="I10" s="159"/>
    </row>
    <row r="11" spans="2:12" ht="16.5" customHeight="1" x14ac:dyDescent="0.35">
      <c r="B11" s="67" t="s">
        <v>16</v>
      </c>
      <c r="C11" s="67"/>
      <c r="D11" s="67"/>
      <c r="E11" s="71">
        <v>0.4</v>
      </c>
      <c r="F11" s="71">
        <v>0.35</v>
      </c>
      <c r="G11" s="71">
        <v>0.33</v>
      </c>
      <c r="H11" s="71">
        <v>0.3</v>
      </c>
      <c r="I11" s="71">
        <v>0.3</v>
      </c>
    </row>
    <row r="12" spans="2:12" ht="16.5" customHeight="1" x14ac:dyDescent="0.35">
      <c r="B12" s="68" t="s">
        <v>17</v>
      </c>
      <c r="C12" s="68"/>
      <c r="D12" s="68"/>
      <c r="E12" s="72">
        <v>0.2</v>
      </c>
      <c r="F12" s="72">
        <v>0.2</v>
      </c>
      <c r="G12" s="72">
        <v>0.2</v>
      </c>
      <c r="H12" s="72">
        <v>0.2</v>
      </c>
      <c r="I12" s="72">
        <v>0.2</v>
      </c>
    </row>
    <row r="13" spans="2:12" ht="16.5" customHeight="1" x14ac:dyDescent="0.35">
      <c r="B13" s="67" t="s">
        <v>18</v>
      </c>
      <c r="C13" s="67"/>
      <c r="D13" s="67"/>
      <c r="E13" s="71">
        <v>0.15</v>
      </c>
      <c r="F13" s="71">
        <v>0.15</v>
      </c>
      <c r="G13" s="71">
        <v>0.15</v>
      </c>
      <c r="H13" s="71">
        <v>0.15</v>
      </c>
      <c r="I13" s="71">
        <v>0.2</v>
      </c>
    </row>
    <row r="14" spans="2:12" ht="16.5" customHeight="1" x14ac:dyDescent="0.35">
      <c r="B14" s="68" t="s">
        <v>19</v>
      </c>
      <c r="C14" s="68"/>
      <c r="D14" s="68"/>
      <c r="E14" s="72">
        <v>0.12</v>
      </c>
      <c r="F14" s="72">
        <v>0.12</v>
      </c>
      <c r="G14" s="72">
        <v>0.12</v>
      </c>
      <c r="H14" s="72">
        <v>0.12</v>
      </c>
      <c r="I14" s="72">
        <v>0.12</v>
      </c>
    </row>
    <row r="15" spans="2:12" ht="16.5" customHeight="1" x14ac:dyDescent="0.35">
      <c r="B15" s="67" t="s">
        <v>20</v>
      </c>
      <c r="C15" s="67"/>
      <c r="D15" s="67"/>
      <c r="E15" s="71">
        <v>0.03</v>
      </c>
      <c r="F15" s="71">
        <v>0.03</v>
      </c>
      <c r="G15" s="71">
        <v>0.03</v>
      </c>
      <c r="H15" s="71">
        <v>0.03</v>
      </c>
      <c r="I15" s="71">
        <v>0.03</v>
      </c>
    </row>
    <row r="16" spans="2:12" ht="16.5" customHeight="1" x14ac:dyDescent="0.35">
      <c r="B16" s="68" t="s">
        <v>21</v>
      </c>
      <c r="C16" s="68"/>
      <c r="D16" s="68"/>
      <c r="E16" s="72">
        <v>0.15</v>
      </c>
      <c r="F16" s="72">
        <v>0.15</v>
      </c>
      <c r="G16" s="72">
        <v>0.15</v>
      </c>
      <c r="H16" s="72">
        <v>0.15</v>
      </c>
      <c r="I16" s="72">
        <v>0.15</v>
      </c>
    </row>
    <row r="17" spans="2:9" ht="7.5" customHeight="1" x14ac:dyDescent="0.35"/>
    <row r="18" spans="2:9" ht="15.75" customHeight="1" x14ac:dyDescent="0.35">
      <c r="B18" s="159" t="s">
        <v>22</v>
      </c>
      <c r="C18" s="159"/>
      <c r="D18" s="159"/>
      <c r="E18" s="159"/>
      <c r="F18" s="159"/>
      <c r="G18" s="159"/>
      <c r="H18" s="159"/>
      <c r="I18" s="159"/>
    </row>
    <row r="19" spans="2:9" ht="16.5" customHeight="1" x14ac:dyDescent="0.35">
      <c r="B19" s="67" t="s">
        <v>23</v>
      </c>
      <c r="C19" s="67"/>
      <c r="D19" s="67"/>
      <c r="E19" s="73">
        <v>45</v>
      </c>
      <c r="F19" s="73">
        <v>40</v>
      </c>
      <c r="G19" s="73">
        <v>45</v>
      </c>
      <c r="H19" s="73">
        <v>40</v>
      </c>
      <c r="I19" s="73">
        <v>30</v>
      </c>
    </row>
    <row r="20" spans="2:9" ht="16.5" customHeight="1" x14ac:dyDescent="0.35">
      <c r="B20" s="68" t="s">
        <v>24</v>
      </c>
      <c r="C20" s="68"/>
      <c r="D20" s="68"/>
      <c r="E20" s="75">
        <v>30</v>
      </c>
      <c r="F20" s="75">
        <v>20</v>
      </c>
      <c r="G20" s="75">
        <v>30</v>
      </c>
      <c r="H20" s="75">
        <v>20</v>
      </c>
      <c r="I20" s="75">
        <v>30</v>
      </c>
    </row>
    <row r="21" spans="2:9" ht="16.5" customHeight="1" x14ac:dyDescent="0.35">
      <c r="B21" s="67" t="s">
        <v>25</v>
      </c>
      <c r="C21" s="67"/>
      <c r="D21" s="67"/>
      <c r="E21" s="72">
        <v>0.05</v>
      </c>
      <c r="F21" s="72">
        <v>0.05</v>
      </c>
      <c r="G21" s="72">
        <v>0.05</v>
      </c>
      <c r="H21" s="72">
        <v>0.05</v>
      </c>
      <c r="I21" s="72">
        <v>0.05</v>
      </c>
    </row>
    <row r="22" spans="2:9" ht="7.5" customHeight="1" x14ac:dyDescent="0.35"/>
    <row r="23" spans="2:9" ht="15.75" customHeight="1" x14ac:dyDescent="0.35">
      <c r="B23" s="159" t="s">
        <v>26</v>
      </c>
      <c r="C23" s="159"/>
      <c r="D23" s="159"/>
      <c r="E23" s="159"/>
      <c r="F23" s="159"/>
      <c r="G23" s="159"/>
      <c r="H23" s="159"/>
      <c r="I23" s="159"/>
    </row>
    <row r="24" spans="2:9" ht="16.5" customHeight="1" x14ac:dyDescent="0.35">
      <c r="B24" s="68" t="s">
        <v>82</v>
      </c>
      <c r="C24" s="68"/>
      <c r="D24" s="68"/>
      <c r="E24" s="75"/>
      <c r="F24" s="75"/>
      <c r="G24" s="75">
        <v>50000</v>
      </c>
      <c r="H24" s="75"/>
      <c r="I24" s="76"/>
    </row>
    <row r="25" spans="2:9" ht="16.5" customHeight="1" x14ac:dyDescent="0.35">
      <c r="B25" s="68" t="s">
        <v>27</v>
      </c>
      <c r="C25" s="68"/>
      <c r="D25" s="68"/>
      <c r="E25" s="71"/>
      <c r="F25" s="71"/>
      <c r="G25" s="71">
        <v>0.2</v>
      </c>
      <c r="H25" s="71"/>
      <c r="I25" s="76"/>
    </row>
    <row r="26" spans="2:9" ht="16.5" customHeight="1" x14ac:dyDescent="0.35">
      <c r="B26" s="67" t="s">
        <v>325</v>
      </c>
      <c r="C26" s="67"/>
      <c r="D26" s="67"/>
      <c r="E26" s="73"/>
      <c r="F26" s="73"/>
      <c r="G26" s="73">
        <v>15000</v>
      </c>
      <c r="H26" s="73"/>
      <c r="I26" s="74"/>
    </row>
    <row r="27" spans="2:9" ht="16.5" customHeight="1" x14ac:dyDescent="0.35">
      <c r="B27" s="68" t="s">
        <v>28</v>
      </c>
      <c r="C27" s="68"/>
      <c r="D27" s="68"/>
      <c r="E27" s="71"/>
      <c r="F27" s="71"/>
      <c r="G27" s="71">
        <v>0.1</v>
      </c>
      <c r="H27" s="71"/>
      <c r="I27" s="76"/>
    </row>
    <row r="28" spans="2:9" ht="7.5" customHeight="1" x14ac:dyDescent="0.35"/>
    <row r="29" spans="2:9" ht="15.75" customHeight="1" x14ac:dyDescent="0.35">
      <c r="B29" s="159" t="s">
        <v>29</v>
      </c>
      <c r="C29" s="159"/>
      <c r="D29" s="159"/>
      <c r="E29" s="159"/>
      <c r="F29" s="159"/>
      <c r="G29" s="159"/>
      <c r="H29" s="159"/>
      <c r="I29" s="159"/>
    </row>
    <row r="30" spans="2:9" ht="16.5" customHeight="1" x14ac:dyDescent="0.35">
      <c r="B30" s="67" t="s">
        <v>30</v>
      </c>
      <c r="C30" s="67"/>
      <c r="D30" s="67"/>
      <c r="E30" s="73"/>
      <c r="F30" s="73"/>
      <c r="G30" s="73">
        <v>5</v>
      </c>
      <c r="H30" s="73"/>
      <c r="I30" s="74"/>
    </row>
    <row r="31" spans="2:9" ht="16.5" customHeight="1" x14ac:dyDescent="0.35">
      <c r="B31" s="68" t="s">
        <v>31</v>
      </c>
      <c r="C31" s="68"/>
      <c r="D31" s="68"/>
      <c r="E31" s="78"/>
      <c r="F31" s="78"/>
      <c r="G31" s="78">
        <v>5</v>
      </c>
      <c r="H31" s="78"/>
      <c r="I31" s="76"/>
    </row>
    <row r="32" spans="2:9" ht="16.5" customHeight="1" x14ac:dyDescent="0.35">
      <c r="B32" s="67" t="s">
        <v>32</v>
      </c>
      <c r="C32" s="67"/>
      <c r="D32" s="67"/>
      <c r="E32" s="77"/>
      <c r="F32" s="77"/>
      <c r="G32" s="77">
        <v>15</v>
      </c>
      <c r="H32" s="77"/>
      <c r="I32" s="74"/>
    </row>
    <row r="33" spans="2:9" ht="16.5" customHeight="1" x14ac:dyDescent="0.35">
      <c r="B33" s="67" t="s">
        <v>33</v>
      </c>
      <c r="C33" s="67"/>
      <c r="D33" s="67"/>
      <c r="E33" s="72"/>
      <c r="F33" s="72"/>
      <c r="G33" s="72">
        <v>0.6</v>
      </c>
      <c r="H33" s="72"/>
      <c r="I33" s="74"/>
    </row>
    <row r="34" spans="2:9" ht="16.5" customHeight="1" x14ac:dyDescent="0.35">
      <c r="B34" s="68" t="s">
        <v>34</v>
      </c>
      <c r="C34" s="68"/>
      <c r="D34" s="68"/>
      <c r="E34" s="78"/>
      <c r="F34" s="78"/>
      <c r="G34" s="78">
        <v>1</v>
      </c>
      <c r="H34" s="78"/>
      <c r="I34" s="76"/>
    </row>
    <row r="35" spans="2:9" ht="7.5" customHeight="1" x14ac:dyDescent="0.35"/>
    <row r="36" spans="2:9" ht="15.75" customHeight="1" x14ac:dyDescent="0.35">
      <c r="B36" s="159" t="s">
        <v>35</v>
      </c>
      <c r="C36" s="159"/>
      <c r="D36" s="159"/>
      <c r="E36" s="159"/>
      <c r="F36" s="159"/>
      <c r="G36" s="159"/>
      <c r="H36" s="159"/>
      <c r="I36" s="159"/>
    </row>
    <row r="37" spans="2:9" ht="16.5" customHeight="1" x14ac:dyDescent="0.35">
      <c r="B37" s="67" t="s">
        <v>36</v>
      </c>
      <c r="C37" s="67"/>
      <c r="D37" s="67"/>
      <c r="E37" s="169"/>
      <c r="F37" s="169"/>
      <c r="G37" s="169">
        <v>4.2999999999999997E-2</v>
      </c>
      <c r="H37" s="73"/>
      <c r="I37" s="74"/>
    </row>
    <row r="38" spans="2:9" ht="16.5" customHeight="1" x14ac:dyDescent="0.35">
      <c r="B38" s="68" t="s">
        <v>486</v>
      </c>
      <c r="C38" s="174" t="s">
        <v>495</v>
      </c>
      <c r="D38" s="68"/>
      <c r="E38" s="172"/>
      <c r="F38" s="172"/>
      <c r="G38" s="172">
        <v>0.2</v>
      </c>
      <c r="H38" s="78"/>
      <c r="I38" s="76"/>
    </row>
    <row r="39" spans="2:9" ht="16.5" customHeight="1" x14ac:dyDescent="0.35">
      <c r="B39" s="67" t="s">
        <v>494</v>
      </c>
      <c r="C39" s="67"/>
      <c r="D39" s="67"/>
      <c r="E39" s="170"/>
      <c r="F39" s="170"/>
      <c r="G39" s="170">
        <v>1.25</v>
      </c>
      <c r="H39" s="77"/>
      <c r="I39" s="74"/>
    </row>
    <row r="40" spans="2:9" ht="16.5" customHeight="1" x14ac:dyDescent="0.35">
      <c r="B40" s="68" t="s">
        <v>487</v>
      </c>
      <c r="C40" s="68"/>
      <c r="D40" s="68"/>
      <c r="E40" s="173"/>
      <c r="F40" s="173"/>
      <c r="G40" s="168">
        <f>G37+G39*G38</f>
        <v>0.29299999999999998</v>
      </c>
      <c r="H40" s="75"/>
      <c r="I40" s="76"/>
    </row>
    <row r="41" spans="2:9" ht="16.5" customHeight="1" x14ac:dyDescent="0.35">
      <c r="B41" s="67" t="s">
        <v>488</v>
      </c>
      <c r="C41" s="67"/>
      <c r="D41" s="67"/>
      <c r="E41" s="169"/>
      <c r="F41" s="169"/>
      <c r="G41" s="169">
        <v>0.15</v>
      </c>
      <c r="H41" s="72"/>
      <c r="I41" s="74"/>
    </row>
    <row r="42" spans="2:9" ht="16.5" customHeight="1" x14ac:dyDescent="0.35">
      <c r="B42" s="68" t="s">
        <v>489</v>
      </c>
      <c r="C42" s="68"/>
      <c r="D42" s="68"/>
      <c r="E42" s="172"/>
      <c r="F42" s="172"/>
      <c r="G42" s="172">
        <v>0.21</v>
      </c>
      <c r="H42" s="78"/>
      <c r="I42" s="76"/>
    </row>
    <row r="43" spans="2:9" ht="16.5" customHeight="1" x14ac:dyDescent="0.35">
      <c r="B43" s="67" t="s">
        <v>490</v>
      </c>
      <c r="C43" s="67"/>
      <c r="D43" s="67"/>
      <c r="E43" s="171"/>
      <c r="F43" s="171"/>
      <c r="G43" s="168">
        <f>G41*(1-G42)</f>
        <v>0.11849999999999999</v>
      </c>
      <c r="H43" s="73"/>
      <c r="I43" s="167"/>
    </row>
    <row r="44" spans="2:9" ht="16.5" customHeight="1" x14ac:dyDescent="0.35">
      <c r="B44" s="68" t="s">
        <v>491</v>
      </c>
      <c r="C44" s="68"/>
      <c r="D44" s="68"/>
      <c r="E44" s="172"/>
      <c r="F44" s="172"/>
      <c r="G44" s="172">
        <v>0.94</v>
      </c>
      <c r="H44" s="78"/>
      <c r="I44" s="167"/>
    </row>
    <row r="45" spans="2:9" ht="16.5" customHeight="1" x14ac:dyDescent="0.35">
      <c r="B45" s="67" t="s">
        <v>492</v>
      </c>
      <c r="C45" s="67"/>
      <c r="D45" s="67"/>
      <c r="E45" s="169"/>
      <c r="F45" s="169"/>
      <c r="G45" s="169">
        <v>0.06</v>
      </c>
      <c r="H45" s="77"/>
      <c r="I45" s="167"/>
    </row>
    <row r="46" spans="2:9" ht="16.5" customHeight="1" x14ac:dyDescent="0.35">
      <c r="B46" s="68" t="s">
        <v>493</v>
      </c>
      <c r="C46" s="68"/>
      <c r="D46" s="68"/>
      <c r="E46" s="173"/>
      <c r="F46" s="173"/>
      <c r="G46" s="168">
        <f>G40*G44+G43*G45</f>
        <v>0.28252999999999995</v>
      </c>
      <c r="H46" s="75"/>
      <c r="I46" s="167"/>
    </row>
    <row r="47" spans="2:9" ht="16.5" customHeight="1" x14ac:dyDescent="0.35">
      <c r="B47" s="67" t="s">
        <v>496</v>
      </c>
      <c r="C47" s="67"/>
      <c r="D47" s="67"/>
      <c r="E47" s="169"/>
      <c r="F47" s="169"/>
      <c r="G47" s="169">
        <v>0.03</v>
      </c>
      <c r="H47" s="77"/>
      <c r="I47" s="167"/>
    </row>
    <row r="49" spans="2:5" x14ac:dyDescent="0.35">
      <c r="B49" s="206" t="s">
        <v>316</v>
      </c>
      <c r="C49" s="207"/>
      <c r="D49" s="207"/>
      <c r="E49" s="208"/>
    </row>
    <row r="50" spans="2:5" x14ac:dyDescent="0.35">
      <c r="B50" s="111" t="s">
        <v>317</v>
      </c>
      <c r="C50" s="209" t="s">
        <v>318</v>
      </c>
      <c r="D50" s="210"/>
      <c r="E50" s="211"/>
    </row>
    <row r="51" spans="2:5" x14ac:dyDescent="0.35">
      <c r="B51" s="112" t="s">
        <v>319</v>
      </c>
      <c r="C51" s="212" t="s">
        <v>320</v>
      </c>
      <c r="D51" s="213"/>
      <c r="E51" s="214"/>
    </row>
    <row r="52" spans="2:5" x14ac:dyDescent="0.35">
      <c r="B52" s="113" t="s">
        <v>321</v>
      </c>
      <c r="C52" s="215" t="s">
        <v>322</v>
      </c>
      <c r="D52" s="216"/>
      <c r="E52" s="217"/>
    </row>
  </sheetData>
  <mergeCells count="6">
    <mergeCell ref="B1:I1"/>
    <mergeCell ref="B49:E49"/>
    <mergeCell ref="C50:E50"/>
    <mergeCell ref="C51:E51"/>
    <mergeCell ref="C52:E52"/>
    <mergeCell ref="B2:G2"/>
  </mergeCells>
  <conditionalFormatting sqref="F5:I5 E6 E24:F27 E30:F34 E37:F47">
    <cfRule type="cellIs" dxfId="22" priority="1" operator="equal">
      <formula>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B1:G36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36.81640625" customWidth="1"/>
    <col min="3" max="6" width="15" customWidth="1"/>
    <col min="7" max="7" width="15" hidden="1" customWidth="1"/>
    <col min="11" max="11" width="23.54296875" bestFit="1" customWidth="1"/>
    <col min="12" max="12" width="8.54296875" bestFit="1" customWidth="1"/>
  </cols>
  <sheetData>
    <row r="1" spans="2:7" ht="27.75" customHeight="1" x14ac:dyDescent="0.35">
      <c r="B1" s="205" t="s">
        <v>326</v>
      </c>
      <c r="C1" s="205"/>
      <c r="D1" s="205"/>
      <c r="E1" s="205"/>
      <c r="F1" s="205"/>
      <c r="G1" s="205"/>
    </row>
    <row r="2" spans="2:7" ht="6" customHeight="1" x14ac:dyDescent="0.35">
      <c r="B2" s="218"/>
      <c r="C2" s="218"/>
      <c r="D2" s="218"/>
      <c r="E2" s="218"/>
      <c r="F2" s="218"/>
      <c r="G2" s="218"/>
    </row>
    <row r="3" spans="2:7" ht="18" customHeight="1" x14ac:dyDescent="0.35">
      <c r="B3" s="1"/>
      <c r="C3" s="82" t="s">
        <v>38</v>
      </c>
      <c r="D3" s="82" t="s">
        <v>39</v>
      </c>
      <c r="E3" s="83" t="s">
        <v>40</v>
      </c>
      <c r="F3" s="83" t="s">
        <v>41</v>
      </c>
      <c r="G3" s="83" t="s">
        <v>42</v>
      </c>
    </row>
    <row r="4" spans="2:7" ht="15.75" customHeight="1" x14ac:dyDescent="0.35">
      <c r="B4" s="221" t="s">
        <v>43</v>
      </c>
      <c r="C4" s="221"/>
      <c r="D4" s="221"/>
      <c r="E4" s="221"/>
      <c r="F4" s="221"/>
      <c r="G4" s="221"/>
    </row>
    <row r="5" spans="2:7" ht="16.5" customHeight="1" x14ac:dyDescent="0.35">
      <c r="B5" s="6" t="s">
        <v>44</v>
      </c>
      <c r="C5" s="7">
        <f>Assumptions!E5</f>
        <v>15000</v>
      </c>
      <c r="D5" s="7">
        <f>C5*(1+Assumptions!F6)</f>
        <v>21000</v>
      </c>
      <c r="E5" s="7">
        <f>IF(Assumptions!L5=1,SUM('Revenue (Monthly)'!D56:O56),D5*(1+Assumptions!G6))</f>
        <v>31386.657583448032</v>
      </c>
      <c r="F5" s="7">
        <f>IF(Assumptions!L5=1,SUM('Revenue (Monthly)'!P56:AA56),E5*(1+Assumptions!H6))</f>
        <v>45815.338037704889</v>
      </c>
      <c r="G5" s="7">
        <f>F5*(1+Assumptions!I6)</f>
        <v>64141.47325278684</v>
      </c>
    </row>
    <row r="6" spans="2:7" ht="16.5" customHeight="1" x14ac:dyDescent="0.35">
      <c r="B6" s="92" t="s">
        <v>45</v>
      </c>
      <c r="C6" s="117"/>
      <c r="D6" s="93">
        <f>(D5-C5)/C5</f>
        <v>0.4</v>
      </c>
      <c r="E6" s="93">
        <f>(E5-D5)/D5</f>
        <v>0.49460274206895388</v>
      </c>
      <c r="F6" s="93">
        <f>(F5-E5)/E5</f>
        <v>0.45970745422303011</v>
      </c>
      <c r="G6" s="93">
        <f>(G5-F5)/F5</f>
        <v>0.39999999999999991</v>
      </c>
    </row>
    <row r="7" spans="2:7" ht="16.5" customHeight="1" x14ac:dyDescent="0.35">
      <c r="B7" s="92" t="s">
        <v>46</v>
      </c>
      <c r="C7" s="94">
        <f>C$5*Assumptions!E7</f>
        <v>9000</v>
      </c>
      <c r="D7" s="94">
        <f>D$5*Assumptions!F7</f>
        <v>13650</v>
      </c>
      <c r="E7" s="94">
        <f>E$5*Assumptions!G7</f>
        <v>21029.06058091018</v>
      </c>
      <c r="F7" s="94">
        <f>F$5*Assumptions!H7</f>
        <v>32070.73662639342</v>
      </c>
      <c r="G7" s="94">
        <f>G$5*Assumptions!I7</f>
        <v>44899.031276950787</v>
      </c>
    </row>
    <row r="8" spans="2:7" ht="16.5" customHeight="1" x14ac:dyDescent="0.35">
      <c r="B8" s="92" t="s">
        <v>47</v>
      </c>
      <c r="C8" s="93">
        <f>C7/C5</f>
        <v>0.6</v>
      </c>
      <c r="D8" s="93">
        <f>D7/D5</f>
        <v>0.65</v>
      </c>
      <c r="E8" s="93">
        <f>E7/E5</f>
        <v>0.66999999999999993</v>
      </c>
      <c r="F8" s="93">
        <f>F7/F5</f>
        <v>0.7</v>
      </c>
      <c r="G8" s="93">
        <f>G7/G5</f>
        <v>0.7</v>
      </c>
    </row>
    <row r="9" spans="2:7" ht="16.5" customHeight="1" x14ac:dyDescent="0.35">
      <c r="B9" s="92" t="s">
        <v>48</v>
      </c>
      <c r="C9" s="94">
        <f>C5*Assumptions!E12</f>
        <v>3000</v>
      </c>
      <c r="D9" s="94">
        <f>D5*Assumptions!F12</f>
        <v>4200</v>
      </c>
      <c r="E9" s="94">
        <f>E5*Assumptions!G12</f>
        <v>6277.3315166896064</v>
      </c>
      <c r="F9" s="94">
        <f>F5*Assumptions!H12</f>
        <v>9163.0676075409774</v>
      </c>
      <c r="G9" s="94">
        <f>G5*Assumptions!I12</f>
        <v>12828.294650557369</v>
      </c>
    </row>
    <row r="10" spans="2:7" ht="16.5" customHeight="1" x14ac:dyDescent="0.35">
      <c r="B10" s="92" t="s">
        <v>482</v>
      </c>
      <c r="C10" s="94">
        <f>C5*Assumptions!E13</f>
        <v>2250</v>
      </c>
      <c r="D10" s="94">
        <f>D5*Assumptions!F13</f>
        <v>3150</v>
      </c>
      <c r="E10" s="94">
        <f>E5*Assumptions!G13</f>
        <v>4707.9986375172048</v>
      </c>
      <c r="F10" s="94">
        <f>F5*Assumptions!H13</f>
        <v>6872.3007056557335</v>
      </c>
      <c r="G10" s="94">
        <f>G5*Assumptions!I13</f>
        <v>12828.294650557369</v>
      </c>
    </row>
    <row r="11" spans="2:7" ht="16.5" customHeight="1" x14ac:dyDescent="0.35">
      <c r="B11" s="92" t="s">
        <v>49</v>
      </c>
      <c r="C11" s="94">
        <f>C5*Assumptions!E14</f>
        <v>1800</v>
      </c>
      <c r="D11" s="94">
        <f>D5*Assumptions!F14</f>
        <v>2520</v>
      </c>
      <c r="E11" s="94">
        <f>E5*Assumptions!G14</f>
        <v>3766.3989100137637</v>
      </c>
      <c r="F11" s="94">
        <f>F5*Assumptions!H14</f>
        <v>5497.8405645245866</v>
      </c>
      <c r="G11" s="94">
        <f>G5*Assumptions!I14</f>
        <v>7696.9767903344209</v>
      </c>
    </row>
    <row r="12" spans="2:7" ht="16.5" customHeight="1" x14ac:dyDescent="0.35">
      <c r="B12" s="6" t="s">
        <v>50</v>
      </c>
      <c r="C12" s="7">
        <f>SUM(C9:C11)</f>
        <v>7050</v>
      </c>
      <c r="D12" s="7">
        <f>SUM(D9:D11)</f>
        <v>9870</v>
      </c>
      <c r="E12" s="7">
        <f>SUM(E9:E11)</f>
        <v>14751.729064220575</v>
      </c>
      <c r="F12" s="7">
        <f>SUM(F9:F11)</f>
        <v>21533.208877721299</v>
      </c>
      <c r="G12" s="7">
        <f>SUM(G9:G11)</f>
        <v>33353.56609144916</v>
      </c>
    </row>
    <row r="13" spans="2:7" ht="16.5" customHeight="1" x14ac:dyDescent="0.35">
      <c r="B13" s="6" t="s">
        <v>51</v>
      </c>
      <c r="C13" s="7">
        <f>C7-C12</f>
        <v>1950</v>
      </c>
      <c r="D13" s="7">
        <f>D7-D12</f>
        <v>3780</v>
      </c>
      <c r="E13" s="7">
        <f>E7-E12</f>
        <v>6277.3315166896045</v>
      </c>
      <c r="F13" s="7">
        <f>F7-F12</f>
        <v>10537.527748672121</v>
      </c>
      <c r="G13" s="7">
        <f>G7-G12</f>
        <v>11545.465185501627</v>
      </c>
    </row>
    <row r="14" spans="2:7" ht="16.5" customHeight="1" x14ac:dyDescent="0.35">
      <c r="B14" s="81" t="s">
        <v>52</v>
      </c>
      <c r="C14" s="91">
        <f>C13/C5</f>
        <v>0.13</v>
      </c>
      <c r="D14" s="91">
        <f>D13/D5</f>
        <v>0.18</v>
      </c>
      <c r="E14" s="91">
        <f>E13/E5</f>
        <v>0.19999999999999996</v>
      </c>
      <c r="F14" s="91">
        <f>F13/F5</f>
        <v>0.22999999999999993</v>
      </c>
      <c r="G14" s="91">
        <f>G13/G5</f>
        <v>0.17999999999999994</v>
      </c>
    </row>
    <row r="15" spans="2:7" ht="16.5" customHeight="1" x14ac:dyDescent="0.35"/>
    <row r="16" spans="2:7" ht="16.5" customHeight="1" x14ac:dyDescent="0.35">
      <c r="B16" s="92" t="s">
        <v>53</v>
      </c>
      <c r="C16" s="94">
        <f>C5*Assumptions!E15</f>
        <v>450</v>
      </c>
      <c r="D16" s="94">
        <f>D5*Assumptions!F15</f>
        <v>630</v>
      </c>
      <c r="E16" s="94">
        <f>E5*Assumptions!G15</f>
        <v>941.59972750344093</v>
      </c>
      <c r="F16" s="94">
        <f>F5*Assumptions!H15</f>
        <v>1374.4601411311467</v>
      </c>
      <c r="G16" s="94">
        <f>G5*Assumptions!I15</f>
        <v>1924.2441975836052</v>
      </c>
    </row>
    <row r="17" spans="2:7" ht="16.5" customHeight="1" x14ac:dyDescent="0.35">
      <c r="B17" s="6" t="s">
        <v>54</v>
      </c>
      <c r="C17" s="7">
        <f>C13-C16</f>
        <v>1500</v>
      </c>
      <c r="D17" s="7">
        <f>D13-D16</f>
        <v>3150</v>
      </c>
      <c r="E17" s="7">
        <f>E13-E16</f>
        <v>5335.731789186164</v>
      </c>
      <c r="F17" s="7">
        <f>F13-F16</f>
        <v>9163.0676075409738</v>
      </c>
      <c r="G17" s="7">
        <f>G13-G16</f>
        <v>9621.2209879180227</v>
      </c>
    </row>
    <row r="18" spans="2:7" ht="16.5" customHeight="1" x14ac:dyDescent="0.35">
      <c r="B18" s="92" t="s">
        <v>55</v>
      </c>
      <c r="C18" s="94">
        <f>MAX(C17*Assumptions!E16,0)</f>
        <v>225</v>
      </c>
      <c r="D18" s="94">
        <f>MAX(D17*Assumptions!F16,0)</f>
        <v>472.5</v>
      </c>
      <c r="E18" s="94">
        <f>MAX(E17*Assumptions!G16,0)</f>
        <v>800.35976837792452</v>
      </c>
      <c r="F18" s="94">
        <f>MAX(F17*Assumptions!H16,0)</f>
        <v>1374.460141131146</v>
      </c>
      <c r="G18" s="94">
        <f>MAX(G17*Assumptions!I16,0)</f>
        <v>1443.1831481877034</v>
      </c>
    </row>
    <row r="19" spans="2:7" ht="16.5" customHeight="1" x14ac:dyDescent="0.35">
      <c r="B19" s="79" t="s">
        <v>56</v>
      </c>
      <c r="C19" s="80">
        <f>C17-C18</f>
        <v>1275</v>
      </c>
      <c r="D19" s="80">
        <f>D17-D18</f>
        <v>2677.5</v>
      </c>
      <c r="E19" s="80">
        <f>E17-E18</f>
        <v>4535.3720208082395</v>
      </c>
      <c r="F19" s="80">
        <f>F17-F18</f>
        <v>7788.6074664098278</v>
      </c>
      <c r="G19" s="80">
        <f>G17-G18</f>
        <v>8178.0378397303193</v>
      </c>
    </row>
    <row r="20" spans="2:7" ht="7.5" customHeight="1" x14ac:dyDescent="0.35"/>
    <row r="21" spans="2:7" ht="15.75" customHeight="1" x14ac:dyDescent="0.35">
      <c r="B21" s="222" t="s">
        <v>57</v>
      </c>
      <c r="C21" s="222"/>
      <c r="D21" s="222"/>
      <c r="E21" s="222"/>
      <c r="F21" s="222"/>
      <c r="G21" s="222"/>
    </row>
    <row r="22" spans="2:7" ht="16.5" customHeight="1" x14ac:dyDescent="0.35">
      <c r="B22" s="92" t="s">
        <v>58</v>
      </c>
      <c r="C22" s="94">
        <f>C19</f>
        <v>1275</v>
      </c>
      <c r="D22" s="94">
        <f>D19</f>
        <v>2677.5</v>
      </c>
      <c r="E22" s="94">
        <f>E19</f>
        <v>4535.3720208082395</v>
      </c>
      <c r="F22" s="94">
        <f>F19</f>
        <v>7788.6074664098278</v>
      </c>
      <c r="G22" s="94">
        <f>G19</f>
        <v>8178.0378397303193</v>
      </c>
    </row>
    <row r="23" spans="2:7" ht="16.5" customHeight="1" x14ac:dyDescent="0.35">
      <c r="B23" s="92" t="s">
        <v>59</v>
      </c>
      <c r="C23" s="94">
        <f>C16</f>
        <v>450</v>
      </c>
      <c r="D23" s="94">
        <f>D16</f>
        <v>630</v>
      </c>
      <c r="E23" s="94">
        <f>E16</f>
        <v>941.59972750344093</v>
      </c>
      <c r="F23" s="94">
        <f>F16</f>
        <v>1374.4601411311467</v>
      </c>
      <c r="G23" s="94">
        <f>G16</f>
        <v>1924.2441975836052</v>
      </c>
    </row>
    <row r="24" spans="2:7" ht="16.5" customHeight="1" x14ac:dyDescent="0.35">
      <c r="B24" s="92" t="s">
        <v>60</v>
      </c>
      <c r="C24" s="117"/>
      <c r="D24" s="94">
        <f>D5/365*((Assumptions!F19-Assumptions!E19)-(Assumptions!F20-Assumptions!E20))</f>
        <v>287.67123287671234</v>
      </c>
      <c r="E24" s="94">
        <f>E5/365*((Assumptions!G19-Assumptions!F19)-(Assumptions!G20-Assumptions!F20))</f>
        <v>-429.95421347189085</v>
      </c>
      <c r="F24" s="94">
        <f>F5/365*((Assumptions!H19-Assumptions!G19)-(Assumptions!H20-Assumptions!G20))</f>
        <v>627.60737037951901</v>
      </c>
      <c r="G24" s="94">
        <f>G5/365*((Assumptions!I19-Assumptions!H19)-(Assumptions!I20-Assumptions!H20))</f>
        <v>-3514.6012741253066</v>
      </c>
    </row>
    <row r="25" spans="2:7" ht="16.5" customHeight="1" x14ac:dyDescent="0.35">
      <c r="B25" s="92" t="s">
        <v>61</v>
      </c>
      <c r="C25" s="94">
        <f>-C5*Assumptions!E21</f>
        <v>-750</v>
      </c>
      <c r="D25" s="94">
        <f>-D5*Assumptions!F21</f>
        <v>-1050</v>
      </c>
      <c r="E25" s="94">
        <f>-E5*Assumptions!G21</f>
        <v>-1569.3328791724016</v>
      </c>
      <c r="F25" s="94">
        <f>-F5*Assumptions!H21</f>
        <v>-2290.7669018852444</v>
      </c>
      <c r="G25" s="94">
        <f>-G5*Assumptions!I21</f>
        <v>-3207.0736626393423</v>
      </c>
    </row>
    <row r="26" spans="2:7" ht="16.5" customHeight="1" x14ac:dyDescent="0.35">
      <c r="B26" s="79" t="s">
        <v>62</v>
      </c>
      <c r="C26" s="80">
        <f>C22+C23-C24+C25</f>
        <v>975</v>
      </c>
      <c r="D26" s="80">
        <f t="shared" ref="D26:G26" si="0">D22+D23-D24+D25</f>
        <v>1969.8287671232874</v>
      </c>
      <c r="E26" s="80">
        <f t="shared" si="0"/>
        <v>4337.5930826111689</v>
      </c>
      <c r="F26" s="80">
        <f t="shared" si="0"/>
        <v>6244.6933352762098</v>
      </c>
      <c r="G26" s="80">
        <f t="shared" si="0"/>
        <v>10409.809648799888</v>
      </c>
    </row>
    <row r="27" spans="2:7" ht="16.5" customHeight="1" x14ac:dyDescent="0.35">
      <c r="B27" s="81" t="s">
        <v>63</v>
      </c>
      <c r="C27" s="91">
        <f>C26/C5</f>
        <v>6.5000000000000002E-2</v>
      </c>
      <c r="D27" s="91">
        <f>D26/D5</f>
        <v>9.3801369863013684E-2</v>
      </c>
      <c r="E27" s="91">
        <f>E26/E5</f>
        <v>0.13819863013698624</v>
      </c>
      <c r="F27" s="91">
        <f>F26/F5</f>
        <v>0.13630136986301361</v>
      </c>
      <c r="G27" s="91">
        <f>G26/G5</f>
        <v>0.16229452054794516</v>
      </c>
    </row>
    <row r="28" spans="2:7" ht="16.5" customHeight="1" x14ac:dyDescent="0.35">
      <c r="B28" s="81"/>
      <c r="C28" s="91"/>
      <c r="D28" s="91"/>
      <c r="E28" s="91"/>
      <c r="F28" s="91"/>
      <c r="G28" s="91"/>
    </row>
    <row r="29" spans="2:7" x14ac:dyDescent="0.35">
      <c r="B29" s="219" t="s">
        <v>434</v>
      </c>
      <c r="C29" s="219"/>
      <c r="D29" s="219"/>
      <c r="E29" s="219"/>
      <c r="F29" s="219"/>
      <c r="G29" s="219"/>
    </row>
    <row r="30" spans="2:7" x14ac:dyDescent="0.35">
      <c r="B30" s="66" t="s">
        <v>350</v>
      </c>
      <c r="C30" s="82" t="s">
        <v>38</v>
      </c>
      <c r="D30" s="82" t="s">
        <v>39</v>
      </c>
      <c r="E30" s="82" t="s">
        <v>40</v>
      </c>
      <c r="F30" s="82" t="s">
        <v>41</v>
      </c>
      <c r="G30" s="82" t="s">
        <v>42</v>
      </c>
    </row>
    <row r="31" spans="2:7" x14ac:dyDescent="0.35">
      <c r="B31" s="1" t="s">
        <v>435</v>
      </c>
      <c r="C31" s="117"/>
      <c r="D31" s="8">
        <f>D6</f>
        <v>0.4</v>
      </c>
      <c r="E31" s="8">
        <f t="shared" ref="E31:G31" si="1">E6</f>
        <v>0.49460274206895388</v>
      </c>
      <c r="F31" s="8">
        <f t="shared" si="1"/>
        <v>0.45970745422303011</v>
      </c>
      <c r="G31" s="8">
        <f t="shared" si="1"/>
        <v>0.39999999999999991</v>
      </c>
    </row>
    <row r="32" spans="2:7" x14ac:dyDescent="0.35">
      <c r="B32" s="1" t="s">
        <v>436</v>
      </c>
      <c r="C32" s="8">
        <f>C27</f>
        <v>6.5000000000000002E-2</v>
      </c>
      <c r="D32" s="8">
        <f t="shared" ref="D32:G32" si="2">D27</f>
        <v>9.3801369863013684E-2</v>
      </c>
      <c r="E32" s="8">
        <f t="shared" si="2"/>
        <v>0.13819863013698624</v>
      </c>
      <c r="F32" s="8">
        <f t="shared" si="2"/>
        <v>0.13630136986301361</v>
      </c>
      <c r="G32" s="8">
        <f t="shared" si="2"/>
        <v>0.16229452054794516</v>
      </c>
    </row>
    <row r="33" spans="2:7" x14ac:dyDescent="0.35">
      <c r="B33" s="1" t="s">
        <v>437</v>
      </c>
      <c r="C33" s="8">
        <f>C14</f>
        <v>0.13</v>
      </c>
      <c r="D33" s="8">
        <f t="shared" ref="D33:G33" si="3">D14</f>
        <v>0.18</v>
      </c>
      <c r="E33" s="8">
        <f t="shared" si="3"/>
        <v>0.19999999999999996</v>
      </c>
      <c r="F33" s="8">
        <f t="shared" si="3"/>
        <v>0.22999999999999993</v>
      </c>
      <c r="G33" s="8">
        <f t="shared" si="3"/>
        <v>0.17999999999999994</v>
      </c>
    </row>
    <row r="34" spans="2:7" x14ac:dyDescent="0.35">
      <c r="B34" s="6" t="s">
        <v>438</v>
      </c>
      <c r="C34" s="117"/>
      <c r="D34" s="145">
        <f>IF(D5=0,"",(D31+D32)*100)</f>
        <v>49.380136986301373</v>
      </c>
      <c r="E34" s="145">
        <f t="shared" ref="E34:G34" si="4">IF(E5=0,"",(E31+E32)*100)</f>
        <v>63.280137220594014</v>
      </c>
      <c r="F34" s="145">
        <f t="shared" si="4"/>
        <v>59.60088240860437</v>
      </c>
      <c r="G34" s="145">
        <f t="shared" si="4"/>
        <v>56.229452054794507</v>
      </c>
    </row>
    <row r="35" spans="2:7" x14ac:dyDescent="0.35">
      <c r="B35" s="79" t="s">
        <v>439</v>
      </c>
      <c r="C35" s="161" t="str">
        <f>"N/A"</f>
        <v>N/A</v>
      </c>
      <c r="D35" s="161" t="str">
        <f>IF(D34=0,"N/A",IF(D34&gt;=60,"✅ Excellent",IF(D34&gt;=40,"✅ Healthy",IF(D34&gt;=20,"🔶 Developing","⚠️ Below Target"))))</f>
        <v>✅ Healthy</v>
      </c>
      <c r="E35" s="161" t="str">
        <f t="shared" ref="E35:G35" si="5">IF(E34=0,"N/A",IF(E34&gt;=60,"✅ Excellent",IF(E34&gt;=40,"✅ Healthy",IF(E34&gt;=20,"🔶 Developing","⚠️ Below Target"))))</f>
        <v>✅ Excellent</v>
      </c>
      <c r="F35" s="161" t="str">
        <f t="shared" si="5"/>
        <v>✅ Healthy</v>
      </c>
      <c r="G35" s="161" t="str">
        <f t="shared" si="5"/>
        <v>✅ Healthy</v>
      </c>
    </row>
    <row r="36" spans="2:7" ht="29.5" customHeight="1" x14ac:dyDescent="0.35">
      <c r="B36" s="220"/>
      <c r="C36" s="220"/>
      <c r="D36" s="220"/>
      <c r="E36" s="220"/>
      <c r="F36" s="220"/>
      <c r="G36" s="220"/>
    </row>
  </sheetData>
  <mergeCells count="6">
    <mergeCell ref="B29:G29"/>
    <mergeCell ref="B36:G36"/>
    <mergeCell ref="B1:G1"/>
    <mergeCell ref="B2:G2"/>
    <mergeCell ref="B4:G4"/>
    <mergeCell ref="B21:G21"/>
  </mergeCells>
  <conditionalFormatting sqref="C6">
    <cfRule type="cellIs" dxfId="21" priority="4" operator="equal">
      <formula>""</formula>
    </cfRule>
  </conditionalFormatting>
  <conditionalFormatting sqref="C24">
    <cfRule type="cellIs" dxfId="20" priority="3" operator="equal">
      <formula>""</formula>
    </cfRule>
  </conditionalFormatting>
  <conditionalFormatting sqref="C31">
    <cfRule type="cellIs" dxfId="19" priority="2" operator="equal">
      <formula>""</formula>
    </cfRule>
  </conditionalFormatting>
  <conditionalFormatting sqref="C34">
    <cfRule type="cellIs" dxfId="18" priority="1" operator="equal">
      <formula>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6260-3B38-4DC3-BB98-F30036D52372}">
  <sheetPr>
    <tabColor rgb="FFFFC000"/>
  </sheetPr>
  <dimension ref="B1:AA62"/>
  <sheetViews>
    <sheetView showGridLines="0" zoomScaleNormal="100" workbookViewId="0">
      <pane xSplit="3" ySplit="2" topLeftCell="D3" activePane="bottomRight" state="frozen"/>
      <selection activeCell="C5" sqref="C5"/>
      <selection pane="topRight" activeCell="C5" sqref="C5"/>
      <selection pane="bottomLeft" activeCell="C5" sqref="C5"/>
      <selection pane="bottomRight"/>
    </sheetView>
  </sheetViews>
  <sheetFormatPr defaultColWidth="8.6328125" defaultRowHeight="14.5" x14ac:dyDescent="0.35"/>
  <cols>
    <col min="1" max="1" width="2" customWidth="1"/>
    <col min="2" max="2" width="36" customWidth="1"/>
    <col min="3" max="3" width="16" customWidth="1"/>
    <col min="4" max="5" width="9.453125" customWidth="1"/>
    <col min="6" max="6" width="9.6328125" customWidth="1"/>
    <col min="7" max="12" width="9.453125" customWidth="1"/>
    <col min="13" max="15" width="10.1796875" customWidth="1"/>
    <col min="16" max="24" width="9.453125" customWidth="1"/>
    <col min="25" max="27" width="10.81640625" customWidth="1"/>
  </cols>
  <sheetData>
    <row r="1" spans="2:27" ht="25.5" customHeight="1" x14ac:dyDescent="0.35">
      <c r="B1" s="65" t="s">
        <v>333</v>
      </c>
      <c r="C1" s="65"/>
      <c r="D1" s="65"/>
      <c r="E1" s="65"/>
      <c r="F1" s="65"/>
      <c r="G1" s="65"/>
    </row>
    <row r="2" spans="2:27" ht="4.5" customHeight="1" x14ac:dyDescent="0.35">
      <c r="B2" s="218"/>
      <c r="C2" s="218"/>
      <c r="D2" s="218"/>
      <c r="E2" s="218"/>
      <c r="F2" s="218"/>
      <c r="G2" s="218"/>
    </row>
    <row r="3" spans="2:27" ht="15.75" customHeight="1" x14ac:dyDescent="0.35">
      <c r="B3" s="223" t="s">
        <v>334</v>
      </c>
      <c r="C3" s="224"/>
      <c r="D3" s="224"/>
      <c r="E3" s="224"/>
      <c r="F3" s="224"/>
      <c r="G3" s="225"/>
    </row>
    <row r="4" spans="2:27" ht="28" customHeight="1" x14ac:dyDescent="0.35">
      <c r="B4" s="45" t="s">
        <v>335</v>
      </c>
      <c r="C4" s="45" t="s">
        <v>336</v>
      </c>
      <c r="D4" s="45" t="s">
        <v>337</v>
      </c>
      <c r="E4" s="45" t="s">
        <v>338</v>
      </c>
      <c r="F4" s="45" t="s">
        <v>339</v>
      </c>
      <c r="G4" s="45" t="s">
        <v>340</v>
      </c>
    </row>
    <row r="5" spans="2:27" ht="16.5" customHeight="1" x14ac:dyDescent="0.35">
      <c r="B5" s="6" t="s">
        <v>341</v>
      </c>
      <c r="C5" s="2">
        <v>5</v>
      </c>
      <c r="D5" s="3">
        <f>0.4/12</f>
        <v>3.3333333333333333E-2</v>
      </c>
      <c r="E5" s="3">
        <v>0.1</v>
      </c>
      <c r="F5" s="3">
        <v>0</v>
      </c>
      <c r="G5" s="119"/>
    </row>
    <row r="6" spans="2:27" ht="16.5" customHeight="1" x14ac:dyDescent="0.35">
      <c r="B6" s="10" t="s">
        <v>342</v>
      </c>
      <c r="C6" s="2">
        <v>10</v>
      </c>
      <c r="D6" s="3">
        <f t="shared" ref="D6:D7" si="0">0.4/12</f>
        <v>3.3333333333333333E-2</v>
      </c>
      <c r="E6" s="3">
        <v>0.1</v>
      </c>
      <c r="F6" s="3">
        <v>0.05</v>
      </c>
      <c r="G6" s="120"/>
    </row>
    <row r="7" spans="2:27" ht="16.5" customHeight="1" x14ac:dyDescent="0.35">
      <c r="B7" s="121" t="s">
        <v>343</v>
      </c>
      <c r="C7" s="2">
        <v>20</v>
      </c>
      <c r="D7" s="3">
        <f t="shared" si="0"/>
        <v>3.3333333333333333E-2</v>
      </c>
      <c r="E7" s="3">
        <v>0</v>
      </c>
      <c r="F7" s="3">
        <v>7.0000000000000007E-2</v>
      </c>
      <c r="G7" s="122"/>
    </row>
    <row r="8" spans="2:27" ht="9" customHeight="1" x14ac:dyDescent="0.35"/>
    <row r="9" spans="2:27" ht="15.75" customHeight="1" x14ac:dyDescent="0.35">
      <c r="B9" s="219" t="s">
        <v>344</v>
      </c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</row>
    <row r="10" spans="2:27" ht="16.5" customHeight="1" x14ac:dyDescent="0.35">
      <c r="B10" s="123" t="s">
        <v>335</v>
      </c>
      <c r="C10" s="123" t="s">
        <v>345</v>
      </c>
      <c r="D10" s="83" t="s">
        <v>454</v>
      </c>
      <c r="E10" s="83" t="s">
        <v>455</v>
      </c>
      <c r="F10" s="83" t="s">
        <v>456</v>
      </c>
      <c r="G10" s="83" t="s">
        <v>457</v>
      </c>
      <c r="H10" s="83" t="s">
        <v>458</v>
      </c>
      <c r="I10" s="83" t="s">
        <v>459</v>
      </c>
      <c r="J10" s="83" t="s">
        <v>460</v>
      </c>
      <c r="K10" s="83" t="s">
        <v>461</v>
      </c>
      <c r="L10" s="83" t="s">
        <v>462</v>
      </c>
      <c r="M10" s="83" t="s">
        <v>472</v>
      </c>
      <c r="N10" s="83" t="s">
        <v>473</v>
      </c>
      <c r="O10" s="83" t="s">
        <v>474</v>
      </c>
      <c r="P10" s="83" t="s">
        <v>463</v>
      </c>
      <c r="Q10" s="83" t="s">
        <v>464</v>
      </c>
      <c r="R10" s="83" t="s">
        <v>465</v>
      </c>
      <c r="S10" s="83" t="s">
        <v>466</v>
      </c>
      <c r="T10" s="83" t="s">
        <v>467</v>
      </c>
      <c r="U10" s="83" t="s">
        <v>468</v>
      </c>
      <c r="V10" s="83" t="s">
        <v>469</v>
      </c>
      <c r="W10" s="83" t="s">
        <v>470</v>
      </c>
      <c r="X10" s="83" t="s">
        <v>471</v>
      </c>
      <c r="Y10" s="83" t="s">
        <v>475</v>
      </c>
      <c r="Z10" s="83" t="s">
        <v>476</v>
      </c>
      <c r="AA10" s="83" t="s">
        <v>477</v>
      </c>
    </row>
    <row r="11" spans="2:27" ht="16.5" customHeight="1" x14ac:dyDescent="0.35">
      <c r="B11" s="124" t="s">
        <v>346</v>
      </c>
      <c r="C11" s="146">
        <f>AVERAGE(D11:O11)</f>
        <v>5.9028553935895465</v>
      </c>
      <c r="D11" s="2">
        <f>0.5/12*D17</f>
        <v>8.3333333333333321</v>
      </c>
      <c r="E11" s="2">
        <f t="shared" ref="E11:AA11" si="1">0.5/12*E17</f>
        <v>7.6805555555555554</v>
      </c>
      <c r="F11" s="2">
        <f t="shared" si="1"/>
        <v>7.1255787037037033</v>
      </c>
      <c r="G11" s="2">
        <f t="shared" si="1"/>
        <v>6.6308111496913575</v>
      </c>
      <c r="H11" s="2">
        <f t="shared" si="1"/>
        <v>6.1987616142618309</v>
      </c>
      <c r="I11" s="2">
        <f t="shared" si="1"/>
        <v>5.8320433481894067</v>
      </c>
      <c r="J11" s="2">
        <f t="shared" si="1"/>
        <v>5.4917118210306324</v>
      </c>
      <c r="K11" s="2">
        <f t="shared" si="1"/>
        <v>5.2205331469069094</v>
      </c>
      <c r="L11" s="2">
        <f t="shared" si="1"/>
        <v>4.9380553613613642</v>
      </c>
      <c r="M11" s="2">
        <f t="shared" si="1"/>
        <v>4.6854743347514205</v>
      </c>
      <c r="N11" s="2">
        <f t="shared" si="1"/>
        <v>4.4640357653660629</v>
      </c>
      <c r="O11" s="2">
        <f t="shared" si="1"/>
        <v>4.2333705889229822</v>
      </c>
      <c r="P11" s="2">
        <f t="shared" si="1"/>
        <v>4.0764276967947737</v>
      </c>
      <c r="Q11" s="2">
        <f t="shared" si="1"/>
        <v>3.9129455174945562</v>
      </c>
      <c r="R11" s="2">
        <f t="shared" si="1"/>
        <v>3.7843182473901629</v>
      </c>
      <c r="S11" s="2">
        <f t="shared" si="1"/>
        <v>3.6919981743647527</v>
      </c>
      <c r="T11" s="2">
        <f t="shared" si="1"/>
        <v>3.5541647649632844</v>
      </c>
      <c r="U11" s="2">
        <f t="shared" si="1"/>
        <v>3.4522549635034214</v>
      </c>
      <c r="V11" s="2">
        <f t="shared" si="1"/>
        <v>3.3877655869827308</v>
      </c>
      <c r="W11" s="2">
        <f t="shared" si="1"/>
        <v>3.3205891531070115</v>
      </c>
      <c r="X11" s="2">
        <f t="shared" si="1"/>
        <v>3.2506137011531369</v>
      </c>
      <c r="Y11" s="2">
        <f t="shared" si="1"/>
        <v>3.1777226053678511</v>
      </c>
      <c r="Z11" s="2">
        <f t="shared" si="1"/>
        <v>3.1017943805915111</v>
      </c>
      <c r="AA11" s="2">
        <f t="shared" si="1"/>
        <v>3.1060358131161578</v>
      </c>
    </row>
    <row r="12" spans="2:27" ht="16.5" customHeight="1" x14ac:dyDescent="0.35">
      <c r="B12" s="12" t="s">
        <v>347</v>
      </c>
      <c r="C12" s="146">
        <f>AVERAGE(D12:O12)</f>
        <v>3.7676278530195781</v>
      </c>
      <c r="D12" s="2">
        <f>0.5/12*D28</f>
        <v>2.083333333333333</v>
      </c>
      <c r="E12" s="2">
        <f t="shared" ref="E12:AA12" si="2">0.5/12*E28</f>
        <v>2.6284722222222223</v>
      </c>
      <c r="F12" s="2">
        <f t="shared" si="2"/>
        <v>3.1129918981481488</v>
      </c>
      <c r="G12" s="2">
        <f t="shared" si="2"/>
        <v>3.4926998939043217</v>
      </c>
      <c r="H12" s="2">
        <f t="shared" si="2"/>
        <v>3.763229056150335</v>
      </c>
      <c r="I12" s="2">
        <f t="shared" si="2"/>
        <v>3.9616969334899323</v>
      </c>
      <c r="J12" s="2">
        <f t="shared" si="2"/>
        <v>4.0851009723853462</v>
      </c>
      <c r="K12" s="2">
        <f t="shared" si="2"/>
        <v>4.2136468462347354</v>
      </c>
      <c r="L12" s="2">
        <f t="shared" si="2"/>
        <v>4.3475487981611831</v>
      </c>
      <c r="M12" s="2">
        <f t="shared" si="2"/>
        <v>4.4870299980845658</v>
      </c>
      <c r="N12" s="2">
        <f t="shared" si="2"/>
        <v>4.5073229146714224</v>
      </c>
      <c r="O12" s="2">
        <f t="shared" si="2"/>
        <v>4.5284613694493983</v>
      </c>
      <c r="P12" s="2">
        <f t="shared" si="2"/>
        <v>4.5504805931764567</v>
      </c>
      <c r="Q12" s="2">
        <f t="shared" si="2"/>
        <v>4.5734172845588095</v>
      </c>
      <c r="R12" s="2">
        <f t="shared" si="2"/>
        <v>4.5973096714154265</v>
      </c>
      <c r="S12" s="2">
        <f t="shared" si="2"/>
        <v>4.5805309077244027</v>
      </c>
      <c r="T12" s="2">
        <f t="shared" si="2"/>
        <v>4.6047196955462528</v>
      </c>
      <c r="U12" s="2">
        <f t="shared" si="2"/>
        <v>4.6299163495273472</v>
      </c>
      <c r="V12" s="2">
        <f t="shared" si="2"/>
        <v>4.6144961974243195</v>
      </c>
      <c r="W12" s="2">
        <f t="shared" si="2"/>
        <v>4.5984335389836666</v>
      </c>
      <c r="X12" s="2">
        <f t="shared" si="2"/>
        <v>4.6233682697746525</v>
      </c>
      <c r="Y12" s="2">
        <f t="shared" si="2"/>
        <v>4.64934194768193</v>
      </c>
      <c r="Z12" s="2">
        <f t="shared" si="2"/>
        <v>4.6763978621686775</v>
      </c>
      <c r="AA12" s="2">
        <f t="shared" si="2"/>
        <v>4.6629144397590387</v>
      </c>
    </row>
    <row r="13" spans="2:27" ht="16.5" customHeight="1" x14ac:dyDescent="0.35">
      <c r="B13" s="125" t="s">
        <v>348</v>
      </c>
      <c r="C13" s="146">
        <f>AVERAGE(D13:O13)</f>
        <v>2.0895447222192178</v>
      </c>
      <c r="D13" s="2">
        <f>0.5/12*D39</f>
        <v>0.83333333333333326</v>
      </c>
      <c r="E13" s="2">
        <f t="shared" ref="E13:AA13" si="3">0.5/12*E39</f>
        <v>0.99305555555555547</v>
      </c>
      <c r="F13" s="2">
        <f t="shared" si="3"/>
        <v>1.1594328703703702</v>
      </c>
      <c r="G13" s="2">
        <f t="shared" si="3"/>
        <v>1.3744092399691357</v>
      </c>
      <c r="H13" s="2">
        <f t="shared" si="3"/>
        <v>1.6400096249678495</v>
      </c>
      <c r="I13" s="2">
        <f t="shared" si="3"/>
        <v>1.9166766926748435</v>
      </c>
      <c r="J13" s="2">
        <f t="shared" si="3"/>
        <v>2.2048715548696283</v>
      </c>
      <c r="K13" s="2">
        <f t="shared" si="3"/>
        <v>2.463407869655863</v>
      </c>
      <c r="L13" s="2">
        <f t="shared" si="3"/>
        <v>2.7327165308915236</v>
      </c>
      <c r="M13" s="2">
        <f t="shared" si="3"/>
        <v>2.9715797196786706</v>
      </c>
      <c r="N13" s="2">
        <f t="shared" si="3"/>
        <v>3.262062207998615</v>
      </c>
      <c r="O13" s="2">
        <f t="shared" si="3"/>
        <v>3.5229814666652239</v>
      </c>
      <c r="P13" s="2">
        <f t="shared" si="3"/>
        <v>3.753105694442942</v>
      </c>
      <c r="Q13" s="2">
        <f t="shared" si="3"/>
        <v>3.9928184317113975</v>
      </c>
      <c r="R13" s="2">
        <f t="shared" si="3"/>
        <v>4.2008525330327053</v>
      </c>
      <c r="S13" s="2">
        <f t="shared" si="3"/>
        <v>4.4175547219090685</v>
      </c>
      <c r="T13" s="2">
        <f t="shared" si="3"/>
        <v>4.6016195019886128</v>
      </c>
      <c r="U13" s="2">
        <f t="shared" si="3"/>
        <v>4.7516869812381382</v>
      </c>
      <c r="V13" s="2">
        <f t="shared" si="3"/>
        <v>4.9080072721230605</v>
      </c>
      <c r="W13" s="2">
        <f t="shared" si="3"/>
        <v>5.0708409084615216</v>
      </c>
      <c r="X13" s="2">
        <f t="shared" si="3"/>
        <v>5.1987926129807516</v>
      </c>
      <c r="Y13" s="2">
        <f t="shared" si="3"/>
        <v>5.3320756385216166</v>
      </c>
      <c r="Z13" s="2">
        <f t="shared" si="3"/>
        <v>5.4709121234600175</v>
      </c>
      <c r="AA13" s="2">
        <f t="shared" si="3"/>
        <v>5.6155334619375177</v>
      </c>
    </row>
    <row r="14" spans="2:27" ht="9" customHeight="1" x14ac:dyDescent="0.35"/>
    <row r="15" spans="2:27" ht="15.75" customHeight="1" x14ac:dyDescent="0.35">
      <c r="B15" s="219" t="s">
        <v>349</v>
      </c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</row>
    <row r="16" spans="2:27" ht="16.5" customHeight="1" x14ac:dyDescent="0.35">
      <c r="B16" s="123" t="s">
        <v>350</v>
      </c>
      <c r="C16" s="123" t="s">
        <v>345</v>
      </c>
      <c r="D16" s="83" t="s">
        <v>454</v>
      </c>
      <c r="E16" s="83" t="s">
        <v>455</v>
      </c>
      <c r="F16" s="83" t="s">
        <v>456</v>
      </c>
      <c r="G16" s="83" t="s">
        <v>457</v>
      </c>
      <c r="H16" s="83" t="s">
        <v>458</v>
      </c>
      <c r="I16" s="83" t="s">
        <v>459</v>
      </c>
      <c r="J16" s="83" t="s">
        <v>460</v>
      </c>
      <c r="K16" s="83" t="s">
        <v>461</v>
      </c>
      <c r="L16" s="83" t="s">
        <v>462</v>
      </c>
      <c r="M16" s="83" t="s">
        <v>472</v>
      </c>
      <c r="N16" s="83" t="s">
        <v>473</v>
      </c>
      <c r="O16" s="83" t="s">
        <v>474</v>
      </c>
      <c r="P16" s="83" t="s">
        <v>463</v>
      </c>
      <c r="Q16" s="83" t="s">
        <v>464</v>
      </c>
      <c r="R16" s="83" t="s">
        <v>465</v>
      </c>
      <c r="S16" s="83" t="s">
        <v>466</v>
      </c>
      <c r="T16" s="83" t="s">
        <v>467</v>
      </c>
      <c r="U16" s="83" t="s">
        <v>468</v>
      </c>
      <c r="V16" s="83" t="s">
        <v>469</v>
      </c>
      <c r="W16" s="83" t="s">
        <v>470</v>
      </c>
      <c r="X16" s="83" t="s">
        <v>471</v>
      </c>
      <c r="Y16" s="83" t="s">
        <v>475</v>
      </c>
      <c r="Z16" s="83" t="s">
        <v>476</v>
      </c>
      <c r="AA16" s="83" t="s">
        <v>477</v>
      </c>
    </row>
    <row r="17" spans="2:27" ht="16.5" customHeight="1" x14ac:dyDescent="0.35">
      <c r="B17" s="124" t="s">
        <v>351</v>
      </c>
      <c r="C17" s="115">
        <f t="shared" ref="C17:C22" si="4">AVERAGE(D17:O17)</f>
        <v>141.66852944614914</v>
      </c>
      <c r="D17" s="48">
        <v>200</v>
      </c>
      <c r="E17" s="50">
        <f t="shared" ref="E17:AA17" si="5">D22</f>
        <v>184.33333333333334</v>
      </c>
      <c r="F17" s="50">
        <f t="shared" si="5"/>
        <v>171.01388888888889</v>
      </c>
      <c r="G17" s="50">
        <f t="shared" si="5"/>
        <v>159.13946759259258</v>
      </c>
      <c r="H17" s="50">
        <f t="shared" si="5"/>
        <v>148.77027874228395</v>
      </c>
      <c r="I17" s="50">
        <f t="shared" si="5"/>
        <v>139.96904035654578</v>
      </c>
      <c r="J17" s="50">
        <f t="shared" si="5"/>
        <v>131.80108370473519</v>
      </c>
      <c r="K17" s="50">
        <f t="shared" si="5"/>
        <v>125.29279552576583</v>
      </c>
      <c r="L17" s="50">
        <f t="shared" si="5"/>
        <v>118.51332867267274</v>
      </c>
      <c r="M17" s="50">
        <f t="shared" si="5"/>
        <v>112.45138403403411</v>
      </c>
      <c r="N17" s="50">
        <f t="shared" si="5"/>
        <v>107.13685836878552</v>
      </c>
      <c r="O17" s="50">
        <f t="shared" si="5"/>
        <v>101.60089413415159</v>
      </c>
      <c r="P17" s="50">
        <f t="shared" si="5"/>
        <v>97.834264723074568</v>
      </c>
      <c r="Q17" s="50">
        <f t="shared" si="5"/>
        <v>93.910692419869349</v>
      </c>
      <c r="R17" s="50">
        <f t="shared" si="5"/>
        <v>90.823637937363912</v>
      </c>
      <c r="S17" s="50">
        <f t="shared" si="5"/>
        <v>88.607956184754073</v>
      </c>
      <c r="T17" s="50">
        <f t="shared" si="5"/>
        <v>85.299954359118829</v>
      </c>
      <c r="U17" s="50">
        <f t="shared" si="5"/>
        <v>82.854119124082118</v>
      </c>
      <c r="V17" s="50">
        <f t="shared" si="5"/>
        <v>81.306374087585539</v>
      </c>
      <c r="W17" s="50">
        <f t="shared" si="5"/>
        <v>79.694139674568277</v>
      </c>
      <c r="X17" s="50">
        <f t="shared" si="5"/>
        <v>78.014728827675285</v>
      </c>
      <c r="Y17" s="50">
        <f t="shared" si="5"/>
        <v>76.265342528828427</v>
      </c>
      <c r="Z17" s="50">
        <f t="shared" si="5"/>
        <v>74.443065134196274</v>
      </c>
      <c r="AA17" s="50">
        <f t="shared" si="5"/>
        <v>74.544859514787788</v>
      </c>
    </row>
    <row r="18" spans="2:27" ht="16.5" customHeight="1" x14ac:dyDescent="0.35">
      <c r="B18" s="124" t="s">
        <v>352</v>
      </c>
      <c r="C18" s="115">
        <f t="shared" si="4"/>
        <v>5.9028553935895465</v>
      </c>
      <c r="D18" s="149">
        <f t="shared" ref="D18:AA18" si="6">D11</f>
        <v>8.3333333333333321</v>
      </c>
      <c r="E18" s="149">
        <f t="shared" si="6"/>
        <v>7.6805555555555554</v>
      </c>
      <c r="F18" s="149">
        <f t="shared" si="6"/>
        <v>7.1255787037037033</v>
      </c>
      <c r="G18" s="149">
        <f t="shared" si="6"/>
        <v>6.6308111496913575</v>
      </c>
      <c r="H18" s="149">
        <f t="shared" si="6"/>
        <v>6.1987616142618309</v>
      </c>
      <c r="I18" s="149">
        <f t="shared" si="6"/>
        <v>5.8320433481894067</v>
      </c>
      <c r="J18" s="149">
        <f t="shared" si="6"/>
        <v>5.4917118210306324</v>
      </c>
      <c r="K18" s="149">
        <f t="shared" si="6"/>
        <v>5.2205331469069094</v>
      </c>
      <c r="L18" s="149">
        <f t="shared" si="6"/>
        <v>4.9380553613613642</v>
      </c>
      <c r="M18" s="149">
        <f t="shared" si="6"/>
        <v>4.6854743347514205</v>
      </c>
      <c r="N18" s="149">
        <f t="shared" si="6"/>
        <v>4.4640357653660629</v>
      </c>
      <c r="O18" s="149">
        <f t="shared" si="6"/>
        <v>4.2333705889229822</v>
      </c>
      <c r="P18" s="149">
        <f t="shared" si="6"/>
        <v>4.0764276967947737</v>
      </c>
      <c r="Q18" s="149">
        <f t="shared" si="6"/>
        <v>3.9129455174945562</v>
      </c>
      <c r="R18" s="149">
        <f t="shared" si="6"/>
        <v>3.7843182473901629</v>
      </c>
      <c r="S18" s="149">
        <f t="shared" si="6"/>
        <v>3.6919981743647527</v>
      </c>
      <c r="T18" s="149">
        <f t="shared" si="6"/>
        <v>3.5541647649632844</v>
      </c>
      <c r="U18" s="149">
        <f t="shared" si="6"/>
        <v>3.4522549635034214</v>
      </c>
      <c r="V18" s="149">
        <f t="shared" si="6"/>
        <v>3.3877655869827308</v>
      </c>
      <c r="W18" s="149">
        <f t="shared" si="6"/>
        <v>3.3205891531070115</v>
      </c>
      <c r="X18" s="149">
        <f t="shared" si="6"/>
        <v>3.2506137011531369</v>
      </c>
      <c r="Y18" s="149">
        <f t="shared" si="6"/>
        <v>3.1777226053678511</v>
      </c>
      <c r="Z18" s="149">
        <f t="shared" si="6"/>
        <v>3.1017943805915111</v>
      </c>
      <c r="AA18" s="149">
        <f t="shared" si="6"/>
        <v>3.1060358131161578</v>
      </c>
    </row>
    <row r="19" spans="2:27" ht="16.5" customHeight="1" x14ac:dyDescent="0.35">
      <c r="B19" s="126" t="s">
        <v>353</v>
      </c>
      <c r="C19" s="115">
        <f t="shared" si="4"/>
        <v>-4.75</v>
      </c>
      <c r="D19" s="127">
        <f>-ROUND(D17*$D$5,0)</f>
        <v>-7</v>
      </c>
      <c r="E19" s="127">
        <f t="shared" ref="E19:AA19" si="7">-ROUND(E17*$D$5,0)</f>
        <v>-6</v>
      </c>
      <c r="F19" s="127">
        <f t="shared" si="7"/>
        <v>-6</v>
      </c>
      <c r="G19" s="127">
        <f t="shared" si="7"/>
        <v>-5</v>
      </c>
      <c r="H19" s="127">
        <f t="shared" si="7"/>
        <v>-5</v>
      </c>
      <c r="I19" s="127">
        <f t="shared" si="7"/>
        <v>-5</v>
      </c>
      <c r="J19" s="127">
        <f t="shared" si="7"/>
        <v>-4</v>
      </c>
      <c r="K19" s="127">
        <f t="shared" si="7"/>
        <v>-4</v>
      </c>
      <c r="L19" s="127">
        <f t="shared" si="7"/>
        <v>-4</v>
      </c>
      <c r="M19" s="127">
        <f t="shared" si="7"/>
        <v>-4</v>
      </c>
      <c r="N19" s="127">
        <f t="shared" si="7"/>
        <v>-4</v>
      </c>
      <c r="O19" s="127">
        <f t="shared" si="7"/>
        <v>-3</v>
      </c>
      <c r="P19" s="127">
        <f t="shared" si="7"/>
        <v>-3</v>
      </c>
      <c r="Q19" s="127">
        <f t="shared" si="7"/>
        <v>-3</v>
      </c>
      <c r="R19" s="127">
        <f t="shared" si="7"/>
        <v>-3</v>
      </c>
      <c r="S19" s="127">
        <f t="shared" si="7"/>
        <v>-3</v>
      </c>
      <c r="T19" s="127">
        <f t="shared" si="7"/>
        <v>-3</v>
      </c>
      <c r="U19" s="127">
        <f t="shared" si="7"/>
        <v>-3</v>
      </c>
      <c r="V19" s="127">
        <f t="shared" si="7"/>
        <v>-3</v>
      </c>
      <c r="W19" s="127">
        <f t="shared" si="7"/>
        <v>-3</v>
      </c>
      <c r="X19" s="127">
        <f t="shared" si="7"/>
        <v>-3</v>
      </c>
      <c r="Y19" s="127">
        <f t="shared" si="7"/>
        <v>-3</v>
      </c>
      <c r="Z19" s="127">
        <f t="shared" si="7"/>
        <v>-2</v>
      </c>
      <c r="AA19" s="127">
        <f t="shared" si="7"/>
        <v>-2</v>
      </c>
    </row>
    <row r="20" spans="2:27" ht="16.5" customHeight="1" x14ac:dyDescent="0.35">
      <c r="B20" s="12" t="s">
        <v>354</v>
      </c>
      <c r="C20" s="115">
        <f t="shared" si="4"/>
        <v>14.166666666666666</v>
      </c>
      <c r="D20" s="128">
        <f>ROUND(D17*$E$5,0)</f>
        <v>20</v>
      </c>
      <c r="E20" s="128">
        <f t="shared" ref="E20:AA20" si="8">ROUND(E17*$E$5,0)</f>
        <v>18</v>
      </c>
      <c r="F20" s="128">
        <f t="shared" si="8"/>
        <v>17</v>
      </c>
      <c r="G20" s="128">
        <f t="shared" si="8"/>
        <v>16</v>
      </c>
      <c r="H20" s="128">
        <f t="shared" si="8"/>
        <v>15</v>
      </c>
      <c r="I20" s="128">
        <f t="shared" si="8"/>
        <v>14</v>
      </c>
      <c r="J20" s="128">
        <f t="shared" si="8"/>
        <v>13</v>
      </c>
      <c r="K20" s="128">
        <f t="shared" si="8"/>
        <v>13</v>
      </c>
      <c r="L20" s="128">
        <f t="shared" si="8"/>
        <v>12</v>
      </c>
      <c r="M20" s="128">
        <f t="shared" si="8"/>
        <v>11</v>
      </c>
      <c r="N20" s="128">
        <f t="shared" si="8"/>
        <v>11</v>
      </c>
      <c r="O20" s="128">
        <f t="shared" si="8"/>
        <v>10</v>
      </c>
      <c r="P20" s="128">
        <f t="shared" si="8"/>
        <v>10</v>
      </c>
      <c r="Q20" s="128">
        <f t="shared" si="8"/>
        <v>9</v>
      </c>
      <c r="R20" s="128">
        <f t="shared" si="8"/>
        <v>9</v>
      </c>
      <c r="S20" s="128">
        <f t="shared" si="8"/>
        <v>9</v>
      </c>
      <c r="T20" s="128">
        <f t="shared" si="8"/>
        <v>9</v>
      </c>
      <c r="U20" s="128">
        <f t="shared" si="8"/>
        <v>8</v>
      </c>
      <c r="V20" s="128">
        <f t="shared" si="8"/>
        <v>8</v>
      </c>
      <c r="W20" s="128">
        <f t="shared" si="8"/>
        <v>8</v>
      </c>
      <c r="X20" s="128">
        <f t="shared" si="8"/>
        <v>8</v>
      </c>
      <c r="Y20" s="128">
        <f t="shared" si="8"/>
        <v>8</v>
      </c>
      <c r="Z20" s="128">
        <f t="shared" si="8"/>
        <v>7</v>
      </c>
      <c r="AA20" s="128">
        <f t="shared" si="8"/>
        <v>7</v>
      </c>
    </row>
    <row r="21" spans="2:27" ht="16.5" customHeight="1" x14ac:dyDescent="0.35">
      <c r="B21" s="129" t="s">
        <v>355</v>
      </c>
      <c r="C21" s="115">
        <f t="shared" si="4"/>
        <v>0</v>
      </c>
      <c r="D21" s="130">
        <f t="shared" ref="D21:AA21" si="9">-ROUND(D17*$F$5,0)</f>
        <v>0</v>
      </c>
      <c r="E21" s="130">
        <f t="shared" si="9"/>
        <v>0</v>
      </c>
      <c r="F21" s="130">
        <f t="shared" si="9"/>
        <v>0</v>
      </c>
      <c r="G21" s="130">
        <f t="shared" si="9"/>
        <v>0</v>
      </c>
      <c r="H21" s="130">
        <f t="shared" si="9"/>
        <v>0</v>
      </c>
      <c r="I21" s="130">
        <f t="shared" si="9"/>
        <v>0</v>
      </c>
      <c r="J21" s="130">
        <f t="shared" si="9"/>
        <v>0</v>
      </c>
      <c r="K21" s="130">
        <f t="shared" si="9"/>
        <v>0</v>
      </c>
      <c r="L21" s="130">
        <f t="shared" si="9"/>
        <v>0</v>
      </c>
      <c r="M21" s="130">
        <f t="shared" si="9"/>
        <v>0</v>
      </c>
      <c r="N21" s="130">
        <f t="shared" si="9"/>
        <v>0</v>
      </c>
      <c r="O21" s="130">
        <f t="shared" si="9"/>
        <v>0</v>
      </c>
      <c r="P21" s="130">
        <f t="shared" si="9"/>
        <v>0</v>
      </c>
      <c r="Q21" s="130">
        <f t="shared" si="9"/>
        <v>0</v>
      </c>
      <c r="R21" s="130">
        <f t="shared" si="9"/>
        <v>0</v>
      </c>
      <c r="S21" s="130">
        <f t="shared" si="9"/>
        <v>0</v>
      </c>
      <c r="T21" s="130">
        <f t="shared" si="9"/>
        <v>0</v>
      </c>
      <c r="U21" s="130">
        <f t="shared" si="9"/>
        <v>0</v>
      </c>
      <c r="V21" s="130">
        <f t="shared" si="9"/>
        <v>0</v>
      </c>
      <c r="W21" s="130">
        <f t="shared" si="9"/>
        <v>0</v>
      </c>
      <c r="X21" s="130">
        <f t="shared" si="9"/>
        <v>0</v>
      </c>
      <c r="Y21" s="130">
        <f t="shared" si="9"/>
        <v>0</v>
      </c>
      <c r="Z21" s="130">
        <f t="shared" si="9"/>
        <v>0</v>
      </c>
      <c r="AA21" s="130">
        <f t="shared" si="9"/>
        <v>0</v>
      </c>
    </row>
    <row r="22" spans="2:27" ht="16.5" customHeight="1" x14ac:dyDescent="0.35">
      <c r="B22" s="6" t="s">
        <v>356</v>
      </c>
      <c r="C22" s="115">
        <f t="shared" si="4"/>
        <v>133.15471817307201</v>
      </c>
      <c r="D22" s="7">
        <f>MAX(D17+D18+D19-D20+D21-D32,0)</f>
        <v>184.33333333333334</v>
      </c>
      <c r="E22" s="7">
        <f t="shared" ref="E22:AA22" si="10">MAX(E17+E18+E19-E20+E21-E32,0)</f>
        <v>171.01388888888889</v>
      </c>
      <c r="F22" s="7">
        <f t="shared" si="10"/>
        <v>159.13946759259258</v>
      </c>
      <c r="G22" s="7">
        <f t="shared" si="10"/>
        <v>148.77027874228395</v>
      </c>
      <c r="H22" s="7">
        <f t="shared" si="10"/>
        <v>139.96904035654578</v>
      </c>
      <c r="I22" s="7">
        <f t="shared" si="10"/>
        <v>131.80108370473519</v>
      </c>
      <c r="J22" s="7">
        <f t="shared" si="10"/>
        <v>125.29279552576583</v>
      </c>
      <c r="K22" s="7">
        <f t="shared" si="10"/>
        <v>118.51332867267274</v>
      </c>
      <c r="L22" s="7">
        <f t="shared" si="10"/>
        <v>112.45138403403411</v>
      </c>
      <c r="M22" s="7">
        <f t="shared" si="10"/>
        <v>107.13685836878552</v>
      </c>
      <c r="N22" s="7">
        <f t="shared" si="10"/>
        <v>101.60089413415159</v>
      </c>
      <c r="O22" s="7">
        <f t="shared" si="10"/>
        <v>97.834264723074568</v>
      </c>
      <c r="P22" s="7">
        <f t="shared" si="10"/>
        <v>93.910692419869349</v>
      </c>
      <c r="Q22" s="7">
        <f t="shared" si="10"/>
        <v>90.823637937363912</v>
      </c>
      <c r="R22" s="7">
        <f t="shared" si="10"/>
        <v>88.607956184754073</v>
      </c>
      <c r="S22" s="7">
        <f t="shared" si="10"/>
        <v>85.299954359118829</v>
      </c>
      <c r="T22" s="7">
        <f t="shared" si="10"/>
        <v>82.854119124082118</v>
      </c>
      <c r="U22" s="7">
        <f t="shared" si="10"/>
        <v>81.306374087585539</v>
      </c>
      <c r="V22" s="7">
        <f t="shared" si="10"/>
        <v>79.694139674568277</v>
      </c>
      <c r="W22" s="7">
        <f t="shared" si="10"/>
        <v>78.014728827675285</v>
      </c>
      <c r="X22" s="7">
        <f t="shared" si="10"/>
        <v>76.265342528828427</v>
      </c>
      <c r="Y22" s="7">
        <f t="shared" si="10"/>
        <v>74.443065134196274</v>
      </c>
      <c r="Z22" s="7">
        <f t="shared" si="10"/>
        <v>74.544859514787788</v>
      </c>
      <c r="AA22" s="7">
        <f t="shared" si="10"/>
        <v>74.650895327903953</v>
      </c>
    </row>
    <row r="23" spans="2:27" ht="16.5" customHeight="1" x14ac:dyDescent="0.35">
      <c r="B23" s="20" t="s">
        <v>357</v>
      </c>
      <c r="C23" s="115">
        <f>AVERAGE(D23:O23)</f>
        <v>5</v>
      </c>
      <c r="D23" s="150">
        <f t="shared" ref="D23:AA23" si="11">$C$5</f>
        <v>5</v>
      </c>
      <c r="E23" s="150">
        <f t="shared" si="11"/>
        <v>5</v>
      </c>
      <c r="F23" s="150">
        <f t="shared" si="11"/>
        <v>5</v>
      </c>
      <c r="G23" s="150">
        <f t="shared" si="11"/>
        <v>5</v>
      </c>
      <c r="H23" s="150">
        <f t="shared" si="11"/>
        <v>5</v>
      </c>
      <c r="I23" s="150">
        <f t="shared" si="11"/>
        <v>5</v>
      </c>
      <c r="J23" s="150">
        <f t="shared" si="11"/>
        <v>5</v>
      </c>
      <c r="K23" s="150">
        <f t="shared" si="11"/>
        <v>5</v>
      </c>
      <c r="L23" s="150">
        <f t="shared" si="11"/>
        <v>5</v>
      </c>
      <c r="M23" s="150">
        <f t="shared" si="11"/>
        <v>5</v>
      </c>
      <c r="N23" s="150">
        <f t="shared" si="11"/>
        <v>5</v>
      </c>
      <c r="O23" s="150">
        <f t="shared" si="11"/>
        <v>5</v>
      </c>
      <c r="P23" s="150">
        <f t="shared" si="11"/>
        <v>5</v>
      </c>
      <c r="Q23" s="150">
        <f t="shared" si="11"/>
        <v>5</v>
      </c>
      <c r="R23" s="150">
        <f t="shared" si="11"/>
        <v>5</v>
      </c>
      <c r="S23" s="150">
        <f t="shared" si="11"/>
        <v>5</v>
      </c>
      <c r="T23" s="150">
        <f t="shared" si="11"/>
        <v>5</v>
      </c>
      <c r="U23" s="150">
        <f t="shared" si="11"/>
        <v>5</v>
      </c>
      <c r="V23" s="150">
        <f t="shared" si="11"/>
        <v>5</v>
      </c>
      <c r="W23" s="150">
        <f t="shared" si="11"/>
        <v>5</v>
      </c>
      <c r="X23" s="150">
        <f t="shared" si="11"/>
        <v>5</v>
      </c>
      <c r="Y23" s="150">
        <f t="shared" si="11"/>
        <v>5</v>
      </c>
      <c r="Z23" s="150">
        <f t="shared" si="11"/>
        <v>5</v>
      </c>
      <c r="AA23" s="150">
        <f t="shared" si="11"/>
        <v>5</v>
      </c>
    </row>
    <row r="24" spans="2:27" ht="16.5" customHeight="1" x14ac:dyDescent="0.35">
      <c r="B24" s="6" t="s">
        <v>442</v>
      </c>
      <c r="C24" s="115">
        <f>AVERAGE(D24:O24)</f>
        <v>708.34264723074557</v>
      </c>
      <c r="D24" s="155">
        <f>D17*D23</f>
        <v>1000</v>
      </c>
      <c r="E24" s="155">
        <f t="shared" ref="E24:AA24" si="12">E17*E23</f>
        <v>921.66666666666674</v>
      </c>
      <c r="F24" s="155">
        <f t="shared" si="12"/>
        <v>855.06944444444446</v>
      </c>
      <c r="G24" s="155">
        <f t="shared" si="12"/>
        <v>795.69733796296293</v>
      </c>
      <c r="H24" s="155">
        <f t="shared" si="12"/>
        <v>743.85139371141975</v>
      </c>
      <c r="I24" s="155">
        <f t="shared" si="12"/>
        <v>699.84520178272885</v>
      </c>
      <c r="J24" s="155">
        <f t="shared" si="12"/>
        <v>659.00541852367598</v>
      </c>
      <c r="K24" s="155">
        <f t="shared" si="12"/>
        <v>626.46397762882907</v>
      </c>
      <c r="L24" s="155">
        <f t="shared" si="12"/>
        <v>592.56664336336371</v>
      </c>
      <c r="M24" s="155">
        <f t="shared" si="12"/>
        <v>562.25692017017059</v>
      </c>
      <c r="N24" s="155">
        <f t="shared" si="12"/>
        <v>535.68429184392767</v>
      </c>
      <c r="O24" s="155">
        <f t="shared" si="12"/>
        <v>508.00447067075794</v>
      </c>
      <c r="P24" s="155">
        <f t="shared" si="12"/>
        <v>489.17132361537284</v>
      </c>
      <c r="Q24" s="155">
        <f t="shared" si="12"/>
        <v>469.55346209934675</v>
      </c>
      <c r="R24" s="155">
        <f t="shared" si="12"/>
        <v>454.11818968681956</v>
      </c>
      <c r="S24" s="155">
        <f t="shared" si="12"/>
        <v>443.03978092377037</v>
      </c>
      <c r="T24" s="155">
        <f t="shared" si="12"/>
        <v>426.49977179559414</v>
      </c>
      <c r="U24" s="155">
        <f t="shared" si="12"/>
        <v>414.27059562041057</v>
      </c>
      <c r="V24" s="155">
        <f t="shared" si="12"/>
        <v>406.53187043792769</v>
      </c>
      <c r="W24" s="155">
        <f t="shared" si="12"/>
        <v>398.47069837284141</v>
      </c>
      <c r="X24" s="155">
        <f t="shared" si="12"/>
        <v>390.07364413837644</v>
      </c>
      <c r="Y24" s="155">
        <f t="shared" si="12"/>
        <v>381.32671264414216</v>
      </c>
      <c r="Z24" s="155">
        <f t="shared" si="12"/>
        <v>372.21532567098137</v>
      </c>
      <c r="AA24" s="155">
        <f t="shared" si="12"/>
        <v>372.72429757393894</v>
      </c>
    </row>
    <row r="25" spans="2:27" ht="7.5" customHeight="1" x14ac:dyDescent="0.35"/>
    <row r="26" spans="2:27" ht="15.75" customHeight="1" x14ac:dyDescent="0.35">
      <c r="B26" s="219" t="s">
        <v>358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</row>
    <row r="27" spans="2:27" ht="16.5" customHeight="1" x14ac:dyDescent="0.35">
      <c r="B27" s="123" t="s">
        <v>350</v>
      </c>
      <c r="C27" s="123" t="s">
        <v>345</v>
      </c>
      <c r="D27" s="83" t="s">
        <v>454</v>
      </c>
      <c r="E27" s="83" t="s">
        <v>455</v>
      </c>
      <c r="F27" s="83" t="s">
        <v>456</v>
      </c>
      <c r="G27" s="83" t="s">
        <v>457</v>
      </c>
      <c r="H27" s="83" t="s">
        <v>458</v>
      </c>
      <c r="I27" s="83" t="s">
        <v>459</v>
      </c>
      <c r="J27" s="83" t="s">
        <v>460</v>
      </c>
      <c r="K27" s="83" t="s">
        <v>461</v>
      </c>
      <c r="L27" s="83" t="s">
        <v>462</v>
      </c>
      <c r="M27" s="83" t="s">
        <v>472</v>
      </c>
      <c r="N27" s="83" t="s">
        <v>473</v>
      </c>
      <c r="O27" s="83" t="s">
        <v>474</v>
      </c>
      <c r="P27" s="83" t="s">
        <v>463</v>
      </c>
      <c r="Q27" s="83" t="s">
        <v>464</v>
      </c>
      <c r="R27" s="83" t="s">
        <v>465</v>
      </c>
      <c r="S27" s="83" t="s">
        <v>466</v>
      </c>
      <c r="T27" s="83" t="s">
        <v>467</v>
      </c>
      <c r="U27" s="83" t="s">
        <v>468</v>
      </c>
      <c r="V27" s="83" t="s">
        <v>469</v>
      </c>
      <c r="W27" s="83" t="s">
        <v>470</v>
      </c>
      <c r="X27" s="83" t="s">
        <v>471</v>
      </c>
      <c r="Y27" s="83" t="s">
        <v>475</v>
      </c>
      <c r="Z27" s="83" t="s">
        <v>476</v>
      </c>
      <c r="AA27" s="83" t="s">
        <v>477</v>
      </c>
    </row>
    <row r="28" spans="2:27" ht="16.5" customHeight="1" x14ac:dyDescent="0.35">
      <c r="B28" s="12" t="s">
        <v>351</v>
      </c>
      <c r="C28" s="115">
        <f t="shared" ref="C28:C35" si="13">AVERAGE(D28:O28)</f>
        <v>90.423068472469893</v>
      </c>
      <c r="D28" s="131">
        <v>50</v>
      </c>
      <c r="E28" s="128">
        <f t="shared" ref="E28:AA28" si="14">D33</f>
        <v>63.083333333333343</v>
      </c>
      <c r="F28" s="128">
        <f t="shared" si="14"/>
        <v>74.711805555555571</v>
      </c>
      <c r="G28" s="128">
        <f t="shared" si="14"/>
        <v>83.824797453703724</v>
      </c>
      <c r="H28" s="128">
        <f t="shared" si="14"/>
        <v>90.31749734760804</v>
      </c>
      <c r="I28" s="128">
        <f t="shared" si="14"/>
        <v>95.080726403758376</v>
      </c>
      <c r="J28" s="128">
        <f t="shared" si="14"/>
        <v>98.042423337248309</v>
      </c>
      <c r="K28" s="128">
        <f t="shared" si="14"/>
        <v>101.12752430963366</v>
      </c>
      <c r="L28" s="128">
        <f t="shared" si="14"/>
        <v>104.34117115586839</v>
      </c>
      <c r="M28" s="128">
        <f t="shared" si="14"/>
        <v>107.68871995402958</v>
      </c>
      <c r="N28" s="128">
        <f t="shared" si="14"/>
        <v>108.17574995211415</v>
      </c>
      <c r="O28" s="128">
        <f t="shared" si="14"/>
        <v>108.68307286678557</v>
      </c>
      <c r="P28" s="128">
        <f t="shared" si="14"/>
        <v>109.21153423623497</v>
      </c>
      <c r="Q28" s="128">
        <f t="shared" si="14"/>
        <v>109.76201482941143</v>
      </c>
      <c r="R28" s="128">
        <f t="shared" si="14"/>
        <v>110.33543211397024</v>
      </c>
      <c r="S28" s="128">
        <f t="shared" si="14"/>
        <v>109.93274178538567</v>
      </c>
      <c r="T28" s="128">
        <f t="shared" si="14"/>
        <v>110.51327269311008</v>
      </c>
      <c r="U28" s="128">
        <f t="shared" si="14"/>
        <v>111.11799238865633</v>
      </c>
      <c r="V28" s="128">
        <f t="shared" si="14"/>
        <v>110.74790873818368</v>
      </c>
      <c r="W28" s="128">
        <f t="shared" si="14"/>
        <v>110.362404935608</v>
      </c>
      <c r="X28" s="128">
        <f t="shared" si="14"/>
        <v>110.96083847459167</v>
      </c>
      <c r="Y28" s="128">
        <f t="shared" si="14"/>
        <v>111.58420674436633</v>
      </c>
      <c r="Z28" s="128">
        <f t="shared" si="14"/>
        <v>112.23354869204826</v>
      </c>
      <c r="AA28" s="128">
        <f t="shared" si="14"/>
        <v>111.90994655421693</v>
      </c>
    </row>
    <row r="29" spans="2:27" ht="16.5" customHeight="1" x14ac:dyDescent="0.35">
      <c r="B29" s="12" t="s">
        <v>352</v>
      </c>
      <c r="C29" s="115">
        <f t="shared" si="13"/>
        <v>3.7676278530195781</v>
      </c>
      <c r="D29" s="151">
        <f t="shared" ref="D29:AA29" si="15">D12</f>
        <v>2.083333333333333</v>
      </c>
      <c r="E29" s="151">
        <f t="shared" si="15"/>
        <v>2.6284722222222223</v>
      </c>
      <c r="F29" s="151">
        <f t="shared" si="15"/>
        <v>3.1129918981481488</v>
      </c>
      <c r="G29" s="151">
        <f t="shared" si="15"/>
        <v>3.4926998939043217</v>
      </c>
      <c r="H29" s="151">
        <f t="shared" si="15"/>
        <v>3.763229056150335</v>
      </c>
      <c r="I29" s="151">
        <f t="shared" si="15"/>
        <v>3.9616969334899323</v>
      </c>
      <c r="J29" s="151">
        <f t="shared" si="15"/>
        <v>4.0851009723853462</v>
      </c>
      <c r="K29" s="151">
        <f t="shared" si="15"/>
        <v>4.2136468462347354</v>
      </c>
      <c r="L29" s="151">
        <f t="shared" si="15"/>
        <v>4.3475487981611831</v>
      </c>
      <c r="M29" s="151">
        <f t="shared" si="15"/>
        <v>4.4870299980845658</v>
      </c>
      <c r="N29" s="151">
        <f t="shared" si="15"/>
        <v>4.5073229146714224</v>
      </c>
      <c r="O29" s="151">
        <f t="shared" si="15"/>
        <v>4.5284613694493983</v>
      </c>
      <c r="P29" s="151">
        <f t="shared" si="15"/>
        <v>4.5504805931764567</v>
      </c>
      <c r="Q29" s="151">
        <f t="shared" si="15"/>
        <v>4.5734172845588095</v>
      </c>
      <c r="R29" s="151">
        <f t="shared" si="15"/>
        <v>4.5973096714154265</v>
      </c>
      <c r="S29" s="151">
        <f t="shared" si="15"/>
        <v>4.5805309077244027</v>
      </c>
      <c r="T29" s="151">
        <f t="shared" si="15"/>
        <v>4.6047196955462528</v>
      </c>
      <c r="U29" s="151">
        <f t="shared" si="15"/>
        <v>4.6299163495273472</v>
      </c>
      <c r="V29" s="151">
        <f t="shared" si="15"/>
        <v>4.6144961974243195</v>
      </c>
      <c r="W29" s="151">
        <f t="shared" si="15"/>
        <v>4.5984335389836666</v>
      </c>
      <c r="X29" s="151">
        <f t="shared" si="15"/>
        <v>4.6233682697746525</v>
      </c>
      <c r="Y29" s="151">
        <f t="shared" si="15"/>
        <v>4.64934194768193</v>
      </c>
      <c r="Z29" s="151">
        <f t="shared" si="15"/>
        <v>4.6763978621686775</v>
      </c>
      <c r="AA29" s="151">
        <f t="shared" si="15"/>
        <v>4.6629144397590387</v>
      </c>
    </row>
    <row r="30" spans="2:27" ht="16.5" customHeight="1" x14ac:dyDescent="0.35">
      <c r="B30" s="126" t="s">
        <v>353</v>
      </c>
      <c r="C30" s="115">
        <f t="shared" si="13"/>
        <v>-3</v>
      </c>
      <c r="D30" s="127">
        <f>-ROUND(D28*$D$6,0)</f>
        <v>-2</v>
      </c>
      <c r="E30" s="127">
        <f t="shared" ref="E30:AA30" si="16">-ROUND(E28*$D$6,0)</f>
        <v>-2</v>
      </c>
      <c r="F30" s="127">
        <f t="shared" si="16"/>
        <v>-2</v>
      </c>
      <c r="G30" s="127">
        <f t="shared" si="16"/>
        <v>-3</v>
      </c>
      <c r="H30" s="127">
        <f t="shared" si="16"/>
        <v>-3</v>
      </c>
      <c r="I30" s="127">
        <f t="shared" si="16"/>
        <v>-3</v>
      </c>
      <c r="J30" s="127">
        <f t="shared" si="16"/>
        <v>-3</v>
      </c>
      <c r="K30" s="127">
        <f t="shared" si="16"/>
        <v>-3</v>
      </c>
      <c r="L30" s="127">
        <f t="shared" si="16"/>
        <v>-3</v>
      </c>
      <c r="M30" s="127">
        <f t="shared" si="16"/>
        <v>-4</v>
      </c>
      <c r="N30" s="127">
        <f t="shared" si="16"/>
        <v>-4</v>
      </c>
      <c r="O30" s="127">
        <f t="shared" si="16"/>
        <v>-4</v>
      </c>
      <c r="P30" s="127">
        <f t="shared" si="16"/>
        <v>-4</v>
      </c>
      <c r="Q30" s="127">
        <f t="shared" si="16"/>
        <v>-4</v>
      </c>
      <c r="R30" s="127">
        <f t="shared" si="16"/>
        <v>-4</v>
      </c>
      <c r="S30" s="127">
        <f t="shared" si="16"/>
        <v>-4</v>
      </c>
      <c r="T30" s="127">
        <f t="shared" si="16"/>
        <v>-4</v>
      </c>
      <c r="U30" s="127">
        <f t="shared" si="16"/>
        <v>-4</v>
      </c>
      <c r="V30" s="127">
        <f t="shared" si="16"/>
        <v>-4</v>
      </c>
      <c r="W30" s="127">
        <f t="shared" si="16"/>
        <v>-4</v>
      </c>
      <c r="X30" s="127">
        <f t="shared" si="16"/>
        <v>-4</v>
      </c>
      <c r="Y30" s="127">
        <f t="shared" si="16"/>
        <v>-4</v>
      </c>
      <c r="Z30" s="127">
        <f t="shared" si="16"/>
        <v>-4</v>
      </c>
      <c r="AA30" s="127">
        <f t="shared" si="16"/>
        <v>-4</v>
      </c>
    </row>
    <row r="31" spans="2:27" ht="16.5" customHeight="1" x14ac:dyDescent="0.35">
      <c r="B31" s="12" t="s">
        <v>354</v>
      </c>
      <c r="C31" s="115">
        <f t="shared" si="13"/>
        <v>9</v>
      </c>
      <c r="D31" s="128">
        <f t="shared" ref="D31:AA31" si="17">ROUND(D28*$E$6,0)</f>
        <v>5</v>
      </c>
      <c r="E31" s="128">
        <f t="shared" si="17"/>
        <v>6</v>
      </c>
      <c r="F31" s="128">
        <f t="shared" si="17"/>
        <v>7</v>
      </c>
      <c r="G31" s="128">
        <f t="shared" si="17"/>
        <v>8</v>
      </c>
      <c r="H31" s="128">
        <f t="shared" si="17"/>
        <v>9</v>
      </c>
      <c r="I31" s="128">
        <f t="shared" si="17"/>
        <v>10</v>
      </c>
      <c r="J31" s="128">
        <f t="shared" si="17"/>
        <v>10</v>
      </c>
      <c r="K31" s="128">
        <f t="shared" si="17"/>
        <v>10</v>
      </c>
      <c r="L31" s="128">
        <f t="shared" si="17"/>
        <v>10</v>
      </c>
      <c r="M31" s="128">
        <f t="shared" si="17"/>
        <v>11</v>
      </c>
      <c r="N31" s="128">
        <f t="shared" si="17"/>
        <v>11</v>
      </c>
      <c r="O31" s="128">
        <f t="shared" si="17"/>
        <v>11</v>
      </c>
      <c r="P31" s="128">
        <f t="shared" si="17"/>
        <v>11</v>
      </c>
      <c r="Q31" s="128">
        <f t="shared" si="17"/>
        <v>11</v>
      </c>
      <c r="R31" s="128">
        <f t="shared" si="17"/>
        <v>11</v>
      </c>
      <c r="S31" s="128">
        <f t="shared" si="17"/>
        <v>11</v>
      </c>
      <c r="T31" s="128">
        <f t="shared" si="17"/>
        <v>11</v>
      </c>
      <c r="U31" s="128">
        <f t="shared" si="17"/>
        <v>11</v>
      </c>
      <c r="V31" s="128">
        <f t="shared" si="17"/>
        <v>11</v>
      </c>
      <c r="W31" s="128">
        <f t="shared" si="17"/>
        <v>11</v>
      </c>
      <c r="X31" s="128">
        <f t="shared" si="17"/>
        <v>11</v>
      </c>
      <c r="Y31" s="128">
        <f t="shared" si="17"/>
        <v>11</v>
      </c>
      <c r="Z31" s="128">
        <f t="shared" si="17"/>
        <v>11</v>
      </c>
      <c r="AA31" s="128">
        <f t="shared" si="17"/>
        <v>11</v>
      </c>
    </row>
    <row r="32" spans="2:27" ht="16.5" customHeight="1" x14ac:dyDescent="0.35">
      <c r="B32" s="129" t="s">
        <v>355</v>
      </c>
      <c r="C32" s="115">
        <f t="shared" si="13"/>
        <v>-4.5</v>
      </c>
      <c r="D32" s="130">
        <f t="shared" ref="D32:AA32" si="18">-ROUND(D28*$F$6,0)</f>
        <v>-3</v>
      </c>
      <c r="E32" s="130">
        <f t="shared" si="18"/>
        <v>-3</v>
      </c>
      <c r="F32" s="130">
        <f t="shared" si="18"/>
        <v>-4</v>
      </c>
      <c r="G32" s="130">
        <f t="shared" si="18"/>
        <v>-4</v>
      </c>
      <c r="H32" s="130">
        <f t="shared" si="18"/>
        <v>-5</v>
      </c>
      <c r="I32" s="130">
        <f t="shared" si="18"/>
        <v>-5</v>
      </c>
      <c r="J32" s="130">
        <f t="shared" si="18"/>
        <v>-5</v>
      </c>
      <c r="K32" s="130">
        <f t="shared" si="18"/>
        <v>-5</v>
      </c>
      <c r="L32" s="130">
        <f t="shared" si="18"/>
        <v>-5</v>
      </c>
      <c r="M32" s="130">
        <f t="shared" si="18"/>
        <v>-5</v>
      </c>
      <c r="N32" s="130">
        <f t="shared" si="18"/>
        <v>-5</v>
      </c>
      <c r="O32" s="130">
        <f t="shared" si="18"/>
        <v>-5</v>
      </c>
      <c r="P32" s="130">
        <f t="shared" si="18"/>
        <v>-5</v>
      </c>
      <c r="Q32" s="130">
        <f t="shared" si="18"/>
        <v>-5</v>
      </c>
      <c r="R32" s="130">
        <f t="shared" si="18"/>
        <v>-6</v>
      </c>
      <c r="S32" s="130">
        <f t="shared" si="18"/>
        <v>-5</v>
      </c>
      <c r="T32" s="130">
        <f t="shared" si="18"/>
        <v>-6</v>
      </c>
      <c r="U32" s="130">
        <f t="shared" si="18"/>
        <v>-6</v>
      </c>
      <c r="V32" s="130">
        <f t="shared" si="18"/>
        <v>-6</v>
      </c>
      <c r="W32" s="130">
        <f t="shared" si="18"/>
        <v>-6</v>
      </c>
      <c r="X32" s="130">
        <f t="shared" si="18"/>
        <v>-6</v>
      </c>
      <c r="Y32" s="130">
        <f t="shared" si="18"/>
        <v>-6</v>
      </c>
      <c r="Z32" s="130">
        <f t="shared" si="18"/>
        <v>-6</v>
      </c>
      <c r="AA32" s="130">
        <f t="shared" si="18"/>
        <v>-6</v>
      </c>
    </row>
    <row r="33" spans="2:27" ht="16.5" customHeight="1" x14ac:dyDescent="0.35">
      <c r="B33" s="10" t="s">
        <v>356</v>
      </c>
      <c r="C33" s="115">
        <f t="shared" si="13"/>
        <v>95.357362992156141</v>
      </c>
      <c r="D33" s="11">
        <f>MAX(D28+D29+D30+D20-D31+D32-D43,0)</f>
        <v>63.083333333333343</v>
      </c>
      <c r="E33" s="11">
        <f t="shared" ref="E33:AA33" si="19">MAX(E28+E29+E30+E20-E31+E32-E43,0)</f>
        <v>74.711805555555571</v>
      </c>
      <c r="F33" s="11">
        <f t="shared" si="19"/>
        <v>83.824797453703724</v>
      </c>
      <c r="G33" s="11">
        <f t="shared" si="19"/>
        <v>90.31749734760804</v>
      </c>
      <c r="H33" s="11">
        <f t="shared" si="19"/>
        <v>95.080726403758376</v>
      </c>
      <c r="I33" s="11">
        <f t="shared" si="19"/>
        <v>98.042423337248309</v>
      </c>
      <c r="J33" s="11">
        <f t="shared" si="19"/>
        <v>101.12752430963366</v>
      </c>
      <c r="K33" s="11">
        <f t="shared" si="19"/>
        <v>104.34117115586839</v>
      </c>
      <c r="L33" s="11">
        <f t="shared" si="19"/>
        <v>107.68871995402958</v>
      </c>
      <c r="M33" s="11">
        <f t="shared" si="19"/>
        <v>108.17574995211415</v>
      </c>
      <c r="N33" s="11">
        <f t="shared" si="19"/>
        <v>108.68307286678557</v>
      </c>
      <c r="O33" s="11">
        <f t="shared" si="19"/>
        <v>109.21153423623497</v>
      </c>
      <c r="P33" s="11">
        <f t="shared" si="19"/>
        <v>109.76201482941143</v>
      </c>
      <c r="Q33" s="11">
        <f t="shared" si="19"/>
        <v>110.33543211397024</v>
      </c>
      <c r="R33" s="11">
        <f t="shared" si="19"/>
        <v>109.93274178538567</v>
      </c>
      <c r="S33" s="11">
        <f t="shared" si="19"/>
        <v>110.51327269311008</v>
      </c>
      <c r="T33" s="11">
        <f t="shared" si="19"/>
        <v>111.11799238865633</v>
      </c>
      <c r="U33" s="11">
        <f t="shared" si="19"/>
        <v>110.74790873818368</v>
      </c>
      <c r="V33" s="11">
        <f t="shared" si="19"/>
        <v>110.362404935608</v>
      </c>
      <c r="W33" s="11">
        <f t="shared" si="19"/>
        <v>110.96083847459167</v>
      </c>
      <c r="X33" s="11">
        <f t="shared" si="19"/>
        <v>111.58420674436633</v>
      </c>
      <c r="Y33" s="11">
        <f t="shared" si="19"/>
        <v>112.23354869204826</v>
      </c>
      <c r="Z33" s="11">
        <f t="shared" si="19"/>
        <v>111.90994655421693</v>
      </c>
      <c r="AA33" s="11">
        <f t="shared" si="19"/>
        <v>111.57286099397597</v>
      </c>
    </row>
    <row r="34" spans="2:27" ht="16.5" customHeight="1" x14ac:dyDescent="0.35">
      <c r="B34" s="20" t="s">
        <v>357</v>
      </c>
      <c r="C34" s="115">
        <f t="shared" si="13"/>
        <v>10</v>
      </c>
      <c r="D34" s="150">
        <f t="shared" ref="D34:AA34" si="20">$C$6</f>
        <v>10</v>
      </c>
      <c r="E34" s="150">
        <f t="shared" si="20"/>
        <v>10</v>
      </c>
      <c r="F34" s="150">
        <f t="shared" si="20"/>
        <v>10</v>
      </c>
      <c r="G34" s="150">
        <f t="shared" si="20"/>
        <v>10</v>
      </c>
      <c r="H34" s="150">
        <f t="shared" si="20"/>
        <v>10</v>
      </c>
      <c r="I34" s="150">
        <f t="shared" si="20"/>
        <v>10</v>
      </c>
      <c r="J34" s="150">
        <f t="shared" si="20"/>
        <v>10</v>
      </c>
      <c r="K34" s="150">
        <f t="shared" si="20"/>
        <v>10</v>
      </c>
      <c r="L34" s="150">
        <f t="shared" si="20"/>
        <v>10</v>
      </c>
      <c r="M34" s="150">
        <f t="shared" si="20"/>
        <v>10</v>
      </c>
      <c r="N34" s="150">
        <f t="shared" si="20"/>
        <v>10</v>
      </c>
      <c r="O34" s="150">
        <f t="shared" si="20"/>
        <v>10</v>
      </c>
      <c r="P34" s="150">
        <f t="shared" si="20"/>
        <v>10</v>
      </c>
      <c r="Q34" s="150">
        <f t="shared" si="20"/>
        <v>10</v>
      </c>
      <c r="R34" s="150">
        <f t="shared" si="20"/>
        <v>10</v>
      </c>
      <c r="S34" s="150">
        <f t="shared" si="20"/>
        <v>10</v>
      </c>
      <c r="T34" s="150">
        <f t="shared" si="20"/>
        <v>10</v>
      </c>
      <c r="U34" s="150">
        <f t="shared" si="20"/>
        <v>10</v>
      </c>
      <c r="V34" s="150">
        <f t="shared" si="20"/>
        <v>10</v>
      </c>
      <c r="W34" s="150">
        <f t="shared" si="20"/>
        <v>10</v>
      </c>
      <c r="X34" s="150">
        <f t="shared" si="20"/>
        <v>10</v>
      </c>
      <c r="Y34" s="150">
        <f t="shared" si="20"/>
        <v>10</v>
      </c>
      <c r="Z34" s="150">
        <f t="shared" si="20"/>
        <v>10</v>
      </c>
      <c r="AA34" s="150">
        <f t="shared" si="20"/>
        <v>10</v>
      </c>
    </row>
    <row r="35" spans="2:27" ht="16.5" customHeight="1" x14ac:dyDescent="0.35">
      <c r="B35" s="10" t="s">
        <v>442</v>
      </c>
      <c r="C35" s="115">
        <f t="shared" si="13"/>
        <v>904.23068472469902</v>
      </c>
      <c r="D35" s="154">
        <f>D28*D34</f>
        <v>500</v>
      </c>
      <c r="E35" s="154">
        <f t="shared" ref="E35:AA35" si="21">E28*E34</f>
        <v>630.83333333333348</v>
      </c>
      <c r="F35" s="154">
        <f t="shared" si="21"/>
        <v>747.11805555555566</v>
      </c>
      <c r="G35" s="154">
        <f t="shared" si="21"/>
        <v>838.24797453703718</v>
      </c>
      <c r="H35" s="154">
        <f t="shared" si="21"/>
        <v>903.17497347608037</v>
      </c>
      <c r="I35" s="154">
        <f t="shared" si="21"/>
        <v>950.80726403758376</v>
      </c>
      <c r="J35" s="154">
        <f t="shared" si="21"/>
        <v>980.42423337248306</v>
      </c>
      <c r="K35" s="154">
        <f t="shared" si="21"/>
        <v>1011.2752430963366</v>
      </c>
      <c r="L35" s="154">
        <f t="shared" si="21"/>
        <v>1043.4117115586839</v>
      </c>
      <c r="M35" s="154">
        <f t="shared" si="21"/>
        <v>1076.8871995402958</v>
      </c>
      <c r="N35" s="154">
        <f t="shared" si="21"/>
        <v>1081.7574995211414</v>
      </c>
      <c r="O35" s="154">
        <f t="shared" si="21"/>
        <v>1086.8307286678557</v>
      </c>
      <c r="P35" s="154">
        <f t="shared" si="21"/>
        <v>1092.1153423623496</v>
      </c>
      <c r="Q35" s="154">
        <f t="shared" si="21"/>
        <v>1097.6201482941142</v>
      </c>
      <c r="R35" s="154">
        <f t="shared" si="21"/>
        <v>1103.3543211397025</v>
      </c>
      <c r="S35" s="154">
        <f t="shared" si="21"/>
        <v>1099.3274178538568</v>
      </c>
      <c r="T35" s="154">
        <f t="shared" si="21"/>
        <v>1105.1327269311009</v>
      </c>
      <c r="U35" s="154">
        <f t="shared" si="21"/>
        <v>1111.1799238865633</v>
      </c>
      <c r="V35" s="154">
        <f t="shared" si="21"/>
        <v>1107.4790873818367</v>
      </c>
      <c r="W35" s="154">
        <f t="shared" si="21"/>
        <v>1103.6240493560799</v>
      </c>
      <c r="X35" s="154">
        <f t="shared" si="21"/>
        <v>1109.6083847459167</v>
      </c>
      <c r="Y35" s="154">
        <f t="shared" si="21"/>
        <v>1115.8420674436634</v>
      </c>
      <c r="Z35" s="154">
        <f t="shared" si="21"/>
        <v>1122.3354869204827</v>
      </c>
      <c r="AA35" s="154">
        <f t="shared" si="21"/>
        <v>1119.0994655421694</v>
      </c>
    </row>
    <row r="36" spans="2:27" ht="7.5" customHeight="1" x14ac:dyDescent="0.35"/>
    <row r="37" spans="2:27" ht="15.75" customHeight="1" x14ac:dyDescent="0.35">
      <c r="B37" s="219" t="s">
        <v>359</v>
      </c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</row>
    <row r="38" spans="2:27" ht="16.5" customHeight="1" x14ac:dyDescent="0.35">
      <c r="B38" s="123" t="s">
        <v>350</v>
      </c>
      <c r="C38" s="123" t="s">
        <v>345</v>
      </c>
      <c r="D38" s="83" t="s">
        <v>454</v>
      </c>
      <c r="E38" s="83" t="s">
        <v>455</v>
      </c>
      <c r="F38" s="83" t="s">
        <v>456</v>
      </c>
      <c r="G38" s="83" t="s">
        <v>457</v>
      </c>
      <c r="H38" s="83" t="s">
        <v>458</v>
      </c>
      <c r="I38" s="83" t="s">
        <v>459</v>
      </c>
      <c r="J38" s="83" t="s">
        <v>460</v>
      </c>
      <c r="K38" s="83" t="s">
        <v>461</v>
      </c>
      <c r="L38" s="83" t="s">
        <v>462</v>
      </c>
      <c r="M38" s="83" t="s">
        <v>472</v>
      </c>
      <c r="N38" s="83" t="s">
        <v>473</v>
      </c>
      <c r="O38" s="83" t="s">
        <v>474</v>
      </c>
      <c r="P38" s="83" t="s">
        <v>463</v>
      </c>
      <c r="Q38" s="83" t="s">
        <v>464</v>
      </c>
      <c r="R38" s="83" t="s">
        <v>465</v>
      </c>
      <c r="S38" s="83" t="s">
        <v>466</v>
      </c>
      <c r="T38" s="83" t="s">
        <v>467</v>
      </c>
      <c r="U38" s="83" t="s">
        <v>468</v>
      </c>
      <c r="V38" s="83" t="s">
        <v>469</v>
      </c>
      <c r="W38" s="83" t="s">
        <v>470</v>
      </c>
      <c r="X38" s="83" t="s">
        <v>471</v>
      </c>
      <c r="Y38" s="83" t="s">
        <v>475</v>
      </c>
      <c r="Z38" s="83" t="s">
        <v>476</v>
      </c>
      <c r="AA38" s="83" t="s">
        <v>477</v>
      </c>
    </row>
    <row r="39" spans="2:27" ht="16.5" customHeight="1" x14ac:dyDescent="0.35">
      <c r="B39" s="125" t="s">
        <v>351</v>
      </c>
      <c r="C39" s="115">
        <f t="shared" ref="C39:C46" si="22">AVERAGE(D39:O39)</f>
        <v>50.149073333261221</v>
      </c>
      <c r="D39" s="132">
        <v>20</v>
      </c>
      <c r="E39" s="133">
        <f t="shared" ref="E39:AA39" si="23">D44</f>
        <v>23.833333333333332</v>
      </c>
      <c r="F39" s="133">
        <f t="shared" si="23"/>
        <v>27.826388888888889</v>
      </c>
      <c r="G39" s="133">
        <f t="shared" si="23"/>
        <v>32.98582175925926</v>
      </c>
      <c r="H39" s="133">
        <f t="shared" si="23"/>
        <v>39.360230999228392</v>
      </c>
      <c r="I39" s="133">
        <f t="shared" si="23"/>
        <v>46.000240624196245</v>
      </c>
      <c r="J39" s="133">
        <f t="shared" si="23"/>
        <v>52.916917316871086</v>
      </c>
      <c r="K39" s="133">
        <f t="shared" si="23"/>
        <v>59.121788871740712</v>
      </c>
      <c r="L39" s="133">
        <f t="shared" si="23"/>
        <v>65.585196741396572</v>
      </c>
      <c r="M39" s="133">
        <f t="shared" si="23"/>
        <v>71.317913272288095</v>
      </c>
      <c r="N39" s="133">
        <f t="shared" si="23"/>
        <v>78.289492991966767</v>
      </c>
      <c r="O39" s="133">
        <f t="shared" si="23"/>
        <v>84.551555199965378</v>
      </c>
      <c r="P39" s="133">
        <f t="shared" si="23"/>
        <v>90.074536666630607</v>
      </c>
      <c r="Q39" s="133">
        <f t="shared" si="23"/>
        <v>95.827642361073543</v>
      </c>
      <c r="R39" s="133">
        <f t="shared" si="23"/>
        <v>100.82046079278494</v>
      </c>
      <c r="S39" s="133">
        <f t="shared" si="23"/>
        <v>106.02131332581764</v>
      </c>
      <c r="T39" s="133">
        <f t="shared" si="23"/>
        <v>110.43886804772671</v>
      </c>
      <c r="U39" s="133">
        <f t="shared" si="23"/>
        <v>114.04048754971532</v>
      </c>
      <c r="V39" s="133">
        <f t="shared" si="23"/>
        <v>117.79217453095346</v>
      </c>
      <c r="W39" s="133">
        <f t="shared" si="23"/>
        <v>121.70018180307653</v>
      </c>
      <c r="X39" s="133">
        <f t="shared" si="23"/>
        <v>124.77102271153805</v>
      </c>
      <c r="Y39" s="133">
        <f t="shared" si="23"/>
        <v>127.96981532451881</v>
      </c>
      <c r="Z39" s="133">
        <f t="shared" si="23"/>
        <v>131.30189096304042</v>
      </c>
      <c r="AA39" s="133">
        <f t="shared" si="23"/>
        <v>134.77280308650043</v>
      </c>
    </row>
    <row r="40" spans="2:27" ht="16.5" customHeight="1" x14ac:dyDescent="0.35">
      <c r="B40" s="125" t="s">
        <v>352</v>
      </c>
      <c r="C40" s="115">
        <f t="shared" si="22"/>
        <v>2.0895447222192178</v>
      </c>
      <c r="D40" s="152">
        <f t="shared" ref="D40:AA40" si="24">D13</f>
        <v>0.83333333333333326</v>
      </c>
      <c r="E40" s="152">
        <f t="shared" si="24"/>
        <v>0.99305555555555547</v>
      </c>
      <c r="F40" s="152">
        <f t="shared" si="24"/>
        <v>1.1594328703703702</v>
      </c>
      <c r="G40" s="152">
        <f t="shared" si="24"/>
        <v>1.3744092399691357</v>
      </c>
      <c r="H40" s="152">
        <f t="shared" si="24"/>
        <v>1.6400096249678495</v>
      </c>
      <c r="I40" s="152">
        <f t="shared" si="24"/>
        <v>1.9166766926748435</v>
      </c>
      <c r="J40" s="152">
        <f t="shared" si="24"/>
        <v>2.2048715548696283</v>
      </c>
      <c r="K40" s="152">
        <f t="shared" si="24"/>
        <v>2.463407869655863</v>
      </c>
      <c r="L40" s="152">
        <f t="shared" si="24"/>
        <v>2.7327165308915236</v>
      </c>
      <c r="M40" s="152">
        <f t="shared" si="24"/>
        <v>2.9715797196786706</v>
      </c>
      <c r="N40" s="152">
        <f t="shared" si="24"/>
        <v>3.262062207998615</v>
      </c>
      <c r="O40" s="152">
        <f t="shared" si="24"/>
        <v>3.5229814666652239</v>
      </c>
      <c r="P40" s="152">
        <f t="shared" si="24"/>
        <v>3.753105694442942</v>
      </c>
      <c r="Q40" s="152">
        <f t="shared" si="24"/>
        <v>3.9928184317113975</v>
      </c>
      <c r="R40" s="152">
        <f t="shared" si="24"/>
        <v>4.2008525330327053</v>
      </c>
      <c r="S40" s="152">
        <f t="shared" si="24"/>
        <v>4.4175547219090685</v>
      </c>
      <c r="T40" s="152">
        <f t="shared" si="24"/>
        <v>4.6016195019886128</v>
      </c>
      <c r="U40" s="152">
        <f t="shared" si="24"/>
        <v>4.7516869812381382</v>
      </c>
      <c r="V40" s="152">
        <f t="shared" si="24"/>
        <v>4.9080072721230605</v>
      </c>
      <c r="W40" s="152">
        <f t="shared" si="24"/>
        <v>5.0708409084615216</v>
      </c>
      <c r="X40" s="152">
        <f t="shared" si="24"/>
        <v>5.1987926129807516</v>
      </c>
      <c r="Y40" s="152">
        <f t="shared" si="24"/>
        <v>5.3320756385216166</v>
      </c>
      <c r="Z40" s="152">
        <f t="shared" si="24"/>
        <v>5.4709121234600175</v>
      </c>
      <c r="AA40" s="152">
        <f t="shared" si="24"/>
        <v>5.6155334619375177</v>
      </c>
    </row>
    <row r="41" spans="2:27" ht="16.5" customHeight="1" x14ac:dyDescent="0.35">
      <c r="B41" s="126" t="s">
        <v>353</v>
      </c>
      <c r="C41" s="115">
        <f t="shared" si="22"/>
        <v>-1.75</v>
      </c>
      <c r="D41" s="127">
        <f>-ROUND(D39*$D$7,0)</f>
        <v>-1</v>
      </c>
      <c r="E41" s="127">
        <f t="shared" ref="E41:AA41" si="25">-ROUND(E39*$D$7,0)</f>
        <v>-1</v>
      </c>
      <c r="F41" s="127">
        <f t="shared" si="25"/>
        <v>-1</v>
      </c>
      <c r="G41" s="127">
        <f t="shared" si="25"/>
        <v>-1</v>
      </c>
      <c r="H41" s="127">
        <f t="shared" si="25"/>
        <v>-1</v>
      </c>
      <c r="I41" s="127">
        <f t="shared" si="25"/>
        <v>-2</v>
      </c>
      <c r="J41" s="127">
        <f t="shared" si="25"/>
        <v>-2</v>
      </c>
      <c r="K41" s="127">
        <f t="shared" si="25"/>
        <v>-2</v>
      </c>
      <c r="L41" s="127">
        <f t="shared" si="25"/>
        <v>-2</v>
      </c>
      <c r="M41" s="127">
        <f t="shared" si="25"/>
        <v>-2</v>
      </c>
      <c r="N41" s="127">
        <f t="shared" si="25"/>
        <v>-3</v>
      </c>
      <c r="O41" s="127">
        <f t="shared" si="25"/>
        <v>-3</v>
      </c>
      <c r="P41" s="127">
        <f t="shared" si="25"/>
        <v>-3</v>
      </c>
      <c r="Q41" s="127">
        <f t="shared" si="25"/>
        <v>-3</v>
      </c>
      <c r="R41" s="127">
        <f t="shared" si="25"/>
        <v>-3</v>
      </c>
      <c r="S41" s="127">
        <f t="shared" si="25"/>
        <v>-4</v>
      </c>
      <c r="T41" s="127">
        <f t="shared" si="25"/>
        <v>-4</v>
      </c>
      <c r="U41" s="127">
        <f t="shared" si="25"/>
        <v>-4</v>
      </c>
      <c r="V41" s="127">
        <f t="shared" si="25"/>
        <v>-4</v>
      </c>
      <c r="W41" s="127">
        <f t="shared" si="25"/>
        <v>-4</v>
      </c>
      <c r="X41" s="127">
        <f t="shared" si="25"/>
        <v>-4</v>
      </c>
      <c r="Y41" s="127">
        <f t="shared" si="25"/>
        <v>-4</v>
      </c>
      <c r="Z41" s="127">
        <f t="shared" si="25"/>
        <v>-4</v>
      </c>
      <c r="AA41" s="127">
        <f t="shared" si="25"/>
        <v>-4</v>
      </c>
    </row>
    <row r="42" spans="2:27" ht="16.5" customHeight="1" x14ac:dyDescent="0.35">
      <c r="B42" s="12" t="s">
        <v>354</v>
      </c>
      <c r="C42" s="115">
        <f t="shared" si="22"/>
        <v>0</v>
      </c>
      <c r="D42" s="128">
        <f t="shared" ref="D42:AA42" si="26">ROUND(D39*$E$7,0)</f>
        <v>0</v>
      </c>
      <c r="E42" s="128">
        <f t="shared" si="26"/>
        <v>0</v>
      </c>
      <c r="F42" s="128">
        <f t="shared" si="26"/>
        <v>0</v>
      </c>
      <c r="G42" s="128">
        <f t="shared" si="26"/>
        <v>0</v>
      </c>
      <c r="H42" s="128">
        <f t="shared" si="26"/>
        <v>0</v>
      </c>
      <c r="I42" s="128">
        <f t="shared" si="26"/>
        <v>0</v>
      </c>
      <c r="J42" s="128">
        <f t="shared" si="26"/>
        <v>0</v>
      </c>
      <c r="K42" s="128">
        <f t="shared" si="26"/>
        <v>0</v>
      </c>
      <c r="L42" s="128">
        <f t="shared" si="26"/>
        <v>0</v>
      </c>
      <c r="M42" s="128">
        <f t="shared" si="26"/>
        <v>0</v>
      </c>
      <c r="N42" s="128">
        <f t="shared" si="26"/>
        <v>0</v>
      </c>
      <c r="O42" s="128">
        <f t="shared" si="26"/>
        <v>0</v>
      </c>
      <c r="P42" s="128">
        <f t="shared" si="26"/>
        <v>0</v>
      </c>
      <c r="Q42" s="128">
        <f t="shared" si="26"/>
        <v>0</v>
      </c>
      <c r="R42" s="128">
        <f t="shared" si="26"/>
        <v>0</v>
      </c>
      <c r="S42" s="128">
        <f t="shared" si="26"/>
        <v>0</v>
      </c>
      <c r="T42" s="128">
        <f t="shared" si="26"/>
        <v>0</v>
      </c>
      <c r="U42" s="128">
        <f t="shared" si="26"/>
        <v>0</v>
      </c>
      <c r="V42" s="128">
        <f t="shared" si="26"/>
        <v>0</v>
      </c>
      <c r="W42" s="128">
        <f t="shared" si="26"/>
        <v>0</v>
      </c>
      <c r="X42" s="128">
        <f t="shared" si="26"/>
        <v>0</v>
      </c>
      <c r="Y42" s="128">
        <f t="shared" si="26"/>
        <v>0</v>
      </c>
      <c r="Z42" s="128">
        <f t="shared" si="26"/>
        <v>0</v>
      </c>
      <c r="AA42" s="128">
        <f t="shared" si="26"/>
        <v>0</v>
      </c>
    </row>
    <row r="43" spans="2:27" ht="16.5" customHeight="1" x14ac:dyDescent="0.35">
      <c r="B43" s="129" t="s">
        <v>355</v>
      </c>
      <c r="C43" s="115">
        <f t="shared" si="22"/>
        <v>-3.5</v>
      </c>
      <c r="D43" s="130">
        <f t="shared" ref="D43:AA43" si="27">-ROUND(D39*$F$7,0)</f>
        <v>-1</v>
      </c>
      <c r="E43" s="130">
        <f t="shared" si="27"/>
        <v>-2</v>
      </c>
      <c r="F43" s="130">
        <f t="shared" si="27"/>
        <v>-2</v>
      </c>
      <c r="G43" s="130">
        <f t="shared" si="27"/>
        <v>-2</v>
      </c>
      <c r="H43" s="130">
        <f t="shared" si="27"/>
        <v>-3</v>
      </c>
      <c r="I43" s="130">
        <f t="shared" si="27"/>
        <v>-3</v>
      </c>
      <c r="J43" s="130">
        <f t="shared" si="27"/>
        <v>-4</v>
      </c>
      <c r="K43" s="130">
        <f t="shared" si="27"/>
        <v>-4</v>
      </c>
      <c r="L43" s="130">
        <f t="shared" si="27"/>
        <v>-5</v>
      </c>
      <c r="M43" s="130">
        <f t="shared" si="27"/>
        <v>-5</v>
      </c>
      <c r="N43" s="130">
        <f t="shared" si="27"/>
        <v>-5</v>
      </c>
      <c r="O43" s="130">
        <f t="shared" si="27"/>
        <v>-6</v>
      </c>
      <c r="P43" s="130">
        <f t="shared" si="27"/>
        <v>-6</v>
      </c>
      <c r="Q43" s="130">
        <f t="shared" si="27"/>
        <v>-7</v>
      </c>
      <c r="R43" s="130">
        <f t="shared" si="27"/>
        <v>-7</v>
      </c>
      <c r="S43" s="130">
        <f t="shared" si="27"/>
        <v>-7</v>
      </c>
      <c r="T43" s="130">
        <f t="shared" si="27"/>
        <v>-8</v>
      </c>
      <c r="U43" s="130">
        <f t="shared" si="27"/>
        <v>-8</v>
      </c>
      <c r="V43" s="130">
        <f t="shared" si="27"/>
        <v>-8</v>
      </c>
      <c r="W43" s="130">
        <f t="shared" si="27"/>
        <v>-9</v>
      </c>
      <c r="X43" s="130">
        <f t="shared" si="27"/>
        <v>-9</v>
      </c>
      <c r="Y43" s="130">
        <f t="shared" si="27"/>
        <v>-9</v>
      </c>
      <c r="Z43" s="130">
        <f t="shared" si="27"/>
        <v>-9</v>
      </c>
      <c r="AA43" s="130">
        <f t="shared" si="27"/>
        <v>-9</v>
      </c>
    </row>
    <row r="44" spans="2:27" ht="16.5" customHeight="1" x14ac:dyDescent="0.35">
      <c r="B44" s="121" t="s">
        <v>356</v>
      </c>
      <c r="C44" s="115">
        <f t="shared" si="22"/>
        <v>55.988618055480437</v>
      </c>
      <c r="D44" s="134">
        <f>MAX(D39+D40+D41+D42+D31+D43,0)</f>
        <v>23.833333333333332</v>
      </c>
      <c r="E44" s="134">
        <f t="shared" ref="E44:AA44" si="28">MAX(E39+E40+E41+E42+E31+E43,0)</f>
        <v>27.826388888888889</v>
      </c>
      <c r="F44" s="134">
        <f t="shared" si="28"/>
        <v>32.98582175925926</v>
      </c>
      <c r="G44" s="134">
        <f t="shared" si="28"/>
        <v>39.360230999228392</v>
      </c>
      <c r="H44" s="134">
        <f t="shared" si="28"/>
        <v>46.000240624196245</v>
      </c>
      <c r="I44" s="134">
        <f t="shared" si="28"/>
        <v>52.916917316871086</v>
      </c>
      <c r="J44" s="134">
        <f t="shared" si="28"/>
        <v>59.121788871740712</v>
      </c>
      <c r="K44" s="134">
        <f t="shared" si="28"/>
        <v>65.585196741396572</v>
      </c>
      <c r="L44" s="134">
        <f t="shared" si="28"/>
        <v>71.317913272288095</v>
      </c>
      <c r="M44" s="134">
        <f t="shared" si="28"/>
        <v>78.289492991966767</v>
      </c>
      <c r="N44" s="134">
        <f t="shared" si="28"/>
        <v>84.551555199965378</v>
      </c>
      <c r="O44" s="134">
        <f t="shared" si="28"/>
        <v>90.074536666630607</v>
      </c>
      <c r="P44" s="134">
        <f t="shared" si="28"/>
        <v>95.827642361073543</v>
      </c>
      <c r="Q44" s="134">
        <f t="shared" si="28"/>
        <v>100.82046079278494</v>
      </c>
      <c r="R44" s="134">
        <f t="shared" si="28"/>
        <v>106.02131332581764</v>
      </c>
      <c r="S44" s="134">
        <f t="shared" si="28"/>
        <v>110.43886804772671</v>
      </c>
      <c r="T44" s="134">
        <f t="shared" si="28"/>
        <v>114.04048754971532</v>
      </c>
      <c r="U44" s="134">
        <f t="shared" si="28"/>
        <v>117.79217453095346</v>
      </c>
      <c r="V44" s="134">
        <f t="shared" si="28"/>
        <v>121.70018180307653</v>
      </c>
      <c r="W44" s="134">
        <f t="shared" si="28"/>
        <v>124.77102271153805</v>
      </c>
      <c r="X44" s="134">
        <f t="shared" si="28"/>
        <v>127.96981532451881</v>
      </c>
      <c r="Y44" s="134">
        <f t="shared" si="28"/>
        <v>131.30189096304042</v>
      </c>
      <c r="Z44" s="134">
        <f t="shared" si="28"/>
        <v>134.77280308650043</v>
      </c>
      <c r="AA44" s="134">
        <f t="shared" si="28"/>
        <v>138.38833654843796</v>
      </c>
    </row>
    <row r="45" spans="2:27" ht="16.5" customHeight="1" x14ac:dyDescent="0.35">
      <c r="B45" s="20" t="s">
        <v>357</v>
      </c>
      <c r="C45" s="115">
        <f t="shared" si="22"/>
        <v>20</v>
      </c>
      <c r="D45" s="150">
        <f t="shared" ref="D45:AA45" si="29">$C$7</f>
        <v>20</v>
      </c>
      <c r="E45" s="150">
        <f t="shared" si="29"/>
        <v>20</v>
      </c>
      <c r="F45" s="150">
        <f t="shared" si="29"/>
        <v>20</v>
      </c>
      <c r="G45" s="150">
        <f t="shared" si="29"/>
        <v>20</v>
      </c>
      <c r="H45" s="150">
        <f t="shared" si="29"/>
        <v>20</v>
      </c>
      <c r="I45" s="150">
        <f t="shared" si="29"/>
        <v>20</v>
      </c>
      <c r="J45" s="150">
        <f t="shared" si="29"/>
        <v>20</v>
      </c>
      <c r="K45" s="150">
        <f t="shared" si="29"/>
        <v>20</v>
      </c>
      <c r="L45" s="150">
        <f t="shared" si="29"/>
        <v>20</v>
      </c>
      <c r="M45" s="150">
        <f t="shared" si="29"/>
        <v>20</v>
      </c>
      <c r="N45" s="150">
        <f t="shared" si="29"/>
        <v>20</v>
      </c>
      <c r="O45" s="150">
        <f t="shared" si="29"/>
        <v>20</v>
      </c>
      <c r="P45" s="150">
        <f t="shared" si="29"/>
        <v>20</v>
      </c>
      <c r="Q45" s="150">
        <f t="shared" si="29"/>
        <v>20</v>
      </c>
      <c r="R45" s="150">
        <f t="shared" si="29"/>
        <v>20</v>
      </c>
      <c r="S45" s="150">
        <f t="shared" si="29"/>
        <v>20</v>
      </c>
      <c r="T45" s="150">
        <f t="shared" si="29"/>
        <v>20</v>
      </c>
      <c r="U45" s="150">
        <f t="shared" si="29"/>
        <v>20</v>
      </c>
      <c r="V45" s="150">
        <f t="shared" si="29"/>
        <v>20</v>
      </c>
      <c r="W45" s="150">
        <f t="shared" si="29"/>
        <v>20</v>
      </c>
      <c r="X45" s="150">
        <f t="shared" si="29"/>
        <v>20</v>
      </c>
      <c r="Y45" s="150">
        <f t="shared" si="29"/>
        <v>20</v>
      </c>
      <c r="Z45" s="150">
        <f t="shared" si="29"/>
        <v>20</v>
      </c>
      <c r="AA45" s="150">
        <f t="shared" si="29"/>
        <v>20</v>
      </c>
    </row>
    <row r="46" spans="2:27" ht="16.5" customHeight="1" x14ac:dyDescent="0.35">
      <c r="B46" s="121" t="s">
        <v>442</v>
      </c>
      <c r="C46" s="115">
        <f t="shared" si="22"/>
        <v>1002.9814666652246</v>
      </c>
      <c r="D46" s="153">
        <f>D39*D45</f>
        <v>400</v>
      </c>
      <c r="E46" s="153">
        <f t="shared" ref="E46:AA46" si="30">E39*E45</f>
        <v>476.66666666666663</v>
      </c>
      <c r="F46" s="153">
        <f t="shared" si="30"/>
        <v>556.52777777777783</v>
      </c>
      <c r="G46" s="153">
        <f t="shared" si="30"/>
        <v>659.71643518518522</v>
      </c>
      <c r="H46" s="153">
        <f t="shared" si="30"/>
        <v>787.2046199845679</v>
      </c>
      <c r="I46" s="153">
        <f t="shared" si="30"/>
        <v>920.00481248392487</v>
      </c>
      <c r="J46" s="153">
        <f t="shared" si="30"/>
        <v>1058.3383463374216</v>
      </c>
      <c r="K46" s="153">
        <f t="shared" si="30"/>
        <v>1182.4357774348143</v>
      </c>
      <c r="L46" s="153">
        <f t="shared" si="30"/>
        <v>1311.7039348279313</v>
      </c>
      <c r="M46" s="153">
        <f t="shared" si="30"/>
        <v>1426.3582654457618</v>
      </c>
      <c r="N46" s="153">
        <f t="shared" si="30"/>
        <v>1565.7898598393353</v>
      </c>
      <c r="O46" s="153">
        <f t="shared" si="30"/>
        <v>1691.0311039993076</v>
      </c>
      <c r="P46" s="153">
        <f t="shared" si="30"/>
        <v>1801.4907333326121</v>
      </c>
      <c r="Q46" s="153">
        <f t="shared" si="30"/>
        <v>1916.552847221471</v>
      </c>
      <c r="R46" s="153">
        <f t="shared" si="30"/>
        <v>2016.4092158556989</v>
      </c>
      <c r="S46" s="153">
        <f t="shared" si="30"/>
        <v>2120.4262665163528</v>
      </c>
      <c r="T46" s="153">
        <f t="shared" si="30"/>
        <v>2208.7773609545343</v>
      </c>
      <c r="U46" s="153">
        <f t="shared" si="30"/>
        <v>2280.8097509943063</v>
      </c>
      <c r="V46" s="153">
        <f t="shared" si="30"/>
        <v>2355.8434906190691</v>
      </c>
      <c r="W46" s="153">
        <f t="shared" si="30"/>
        <v>2434.0036360615304</v>
      </c>
      <c r="X46" s="153">
        <f t="shared" si="30"/>
        <v>2495.4204542307612</v>
      </c>
      <c r="Y46" s="153">
        <f t="shared" si="30"/>
        <v>2559.396306490376</v>
      </c>
      <c r="Z46" s="153">
        <f t="shared" si="30"/>
        <v>2626.0378192608086</v>
      </c>
      <c r="AA46" s="153">
        <f t="shared" si="30"/>
        <v>2695.4560617300085</v>
      </c>
    </row>
    <row r="47" spans="2:27" ht="7.5" customHeight="1" x14ac:dyDescent="0.35"/>
    <row r="48" spans="2:27" ht="15.75" customHeight="1" x14ac:dyDescent="0.35">
      <c r="B48" s="219" t="s">
        <v>444</v>
      </c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</row>
    <row r="49" spans="2:27" ht="16.5" customHeight="1" x14ac:dyDescent="0.35">
      <c r="B49" s="123" t="s">
        <v>350</v>
      </c>
      <c r="C49" s="123" t="s">
        <v>345</v>
      </c>
      <c r="D49" s="83" t="s">
        <v>454</v>
      </c>
      <c r="E49" s="83" t="s">
        <v>455</v>
      </c>
      <c r="F49" s="83" t="s">
        <v>456</v>
      </c>
      <c r="G49" s="83" t="s">
        <v>457</v>
      </c>
      <c r="H49" s="83" t="s">
        <v>458</v>
      </c>
      <c r="I49" s="83" t="s">
        <v>459</v>
      </c>
      <c r="J49" s="83" t="s">
        <v>460</v>
      </c>
      <c r="K49" s="83" t="s">
        <v>461</v>
      </c>
      <c r="L49" s="83" t="s">
        <v>462</v>
      </c>
      <c r="M49" s="83" t="s">
        <v>472</v>
      </c>
      <c r="N49" s="83" t="s">
        <v>473</v>
      </c>
      <c r="O49" s="83" t="s">
        <v>474</v>
      </c>
      <c r="P49" s="83" t="s">
        <v>463</v>
      </c>
      <c r="Q49" s="83" t="s">
        <v>464</v>
      </c>
      <c r="R49" s="83" t="s">
        <v>465</v>
      </c>
      <c r="S49" s="83" t="s">
        <v>466</v>
      </c>
      <c r="T49" s="83" t="s">
        <v>467</v>
      </c>
      <c r="U49" s="83" t="s">
        <v>468</v>
      </c>
      <c r="V49" s="83" t="s">
        <v>469</v>
      </c>
      <c r="W49" s="83" t="s">
        <v>470</v>
      </c>
      <c r="X49" s="83" t="s">
        <v>471</v>
      </c>
      <c r="Y49" s="83" t="s">
        <v>475</v>
      </c>
      <c r="Z49" s="83" t="s">
        <v>476</v>
      </c>
      <c r="AA49" s="83" t="s">
        <v>477</v>
      </c>
    </row>
    <row r="50" spans="2:27" ht="16.5" customHeight="1" x14ac:dyDescent="0.35">
      <c r="B50" s="6" t="s">
        <v>360</v>
      </c>
      <c r="C50" s="115">
        <f>P50</f>
        <v>297.12033562594013</v>
      </c>
      <c r="D50" s="7">
        <f>D17+D28+D39</f>
        <v>270</v>
      </c>
      <c r="E50" s="7">
        <f>D22+D33+D44</f>
        <v>271.25</v>
      </c>
      <c r="F50" s="7">
        <f t="shared" ref="F50:AA50" si="31">E22+E33+E44</f>
        <v>273.55208333333337</v>
      </c>
      <c r="G50" s="7">
        <f t="shared" si="31"/>
        <v>275.95008680555554</v>
      </c>
      <c r="H50" s="7">
        <f t="shared" si="31"/>
        <v>278.44800708912038</v>
      </c>
      <c r="I50" s="7">
        <f t="shared" si="31"/>
        <v>281.05000738450042</v>
      </c>
      <c r="J50" s="7">
        <f t="shared" si="31"/>
        <v>282.76042435885461</v>
      </c>
      <c r="K50" s="7">
        <f t="shared" si="31"/>
        <v>285.54210870714019</v>
      </c>
      <c r="L50" s="7">
        <f t="shared" si="31"/>
        <v>288.43969656993772</v>
      </c>
      <c r="M50" s="7">
        <f t="shared" si="31"/>
        <v>291.45801726035177</v>
      </c>
      <c r="N50" s="7">
        <f t="shared" si="31"/>
        <v>293.60210131286647</v>
      </c>
      <c r="O50" s="7">
        <f t="shared" si="31"/>
        <v>294.83552220090252</v>
      </c>
      <c r="P50" s="7">
        <f t="shared" si="31"/>
        <v>297.12033562594013</v>
      </c>
      <c r="Q50" s="7">
        <f t="shared" si="31"/>
        <v>299.50034961035431</v>
      </c>
      <c r="R50" s="7">
        <f t="shared" si="31"/>
        <v>301.9795308441191</v>
      </c>
      <c r="S50" s="7">
        <f t="shared" si="31"/>
        <v>304.5620112959574</v>
      </c>
      <c r="T50" s="7">
        <f t="shared" si="31"/>
        <v>306.25209509995562</v>
      </c>
      <c r="U50" s="7">
        <f t="shared" si="31"/>
        <v>308.01259906245377</v>
      </c>
      <c r="V50" s="7">
        <f t="shared" si="31"/>
        <v>309.84645735672268</v>
      </c>
      <c r="W50" s="7">
        <f t="shared" si="31"/>
        <v>311.75672641325281</v>
      </c>
      <c r="X50" s="7">
        <f t="shared" si="31"/>
        <v>313.74659001380496</v>
      </c>
      <c r="Y50" s="7">
        <f t="shared" si="31"/>
        <v>315.81936459771356</v>
      </c>
      <c r="Z50" s="7">
        <f t="shared" si="31"/>
        <v>317.97850478928495</v>
      </c>
      <c r="AA50" s="7">
        <f t="shared" si="31"/>
        <v>321.22760915550515</v>
      </c>
    </row>
    <row r="51" spans="2:27" ht="16.5" customHeight="1" x14ac:dyDescent="0.35">
      <c r="B51" s="20" t="s">
        <v>361</v>
      </c>
      <c r="C51" s="115">
        <f>AVERAGE(E51:P51)</f>
        <v>2615.5547986206693</v>
      </c>
      <c r="D51" s="135"/>
      <c r="E51" s="135">
        <f>(D17*$C$5+D28*$C$6+D39*$C$7)</f>
        <v>1900</v>
      </c>
      <c r="F51" s="135">
        <f t="shared" ref="F51:AA51" si="32">(E17*$C$5+E28*$C$6+E39*$C$7)</f>
        <v>2029.166666666667</v>
      </c>
      <c r="G51" s="135">
        <f t="shared" si="32"/>
        <v>2158.7152777777778</v>
      </c>
      <c r="H51" s="135">
        <f t="shared" si="32"/>
        <v>2293.6617476851852</v>
      </c>
      <c r="I51" s="135">
        <f t="shared" si="32"/>
        <v>2434.2309871720681</v>
      </c>
      <c r="J51" s="135">
        <f t="shared" si="32"/>
        <v>2570.6572783042375</v>
      </c>
      <c r="K51" s="135">
        <f t="shared" si="32"/>
        <v>2697.7679982335808</v>
      </c>
      <c r="L51" s="135">
        <f t="shared" si="32"/>
        <v>2820.1749981599796</v>
      </c>
      <c r="M51" s="135">
        <f t="shared" si="32"/>
        <v>2947.6822897499787</v>
      </c>
      <c r="N51" s="135">
        <f t="shared" si="32"/>
        <v>3065.5023851562282</v>
      </c>
      <c r="O51" s="135">
        <f t="shared" si="32"/>
        <v>3183.2316512044044</v>
      </c>
      <c r="P51" s="135">
        <f t="shared" si="32"/>
        <v>3285.8663033379212</v>
      </c>
      <c r="Q51" s="135">
        <f t="shared" si="32"/>
        <v>3382.7773993103347</v>
      </c>
      <c r="R51" s="135">
        <f t="shared" si="32"/>
        <v>3483.7264576149319</v>
      </c>
      <c r="S51" s="135">
        <f t="shared" si="32"/>
        <v>3573.8817266822207</v>
      </c>
      <c r="T51" s="135">
        <f t="shared" si="32"/>
        <v>3662.7934652939803</v>
      </c>
      <c r="U51" s="135">
        <f t="shared" si="32"/>
        <v>3740.4098596812291</v>
      </c>
      <c r="V51" s="135">
        <f t="shared" si="32"/>
        <v>3806.2602705012805</v>
      </c>
      <c r="W51" s="135">
        <f t="shared" si="32"/>
        <v>3869.8544484388335</v>
      </c>
      <c r="X51" s="135">
        <f t="shared" si="32"/>
        <v>3936.0983837904519</v>
      </c>
      <c r="Y51" s="135">
        <f t="shared" si="32"/>
        <v>3995.1024831150544</v>
      </c>
      <c r="Z51" s="135">
        <f t="shared" si="32"/>
        <v>4056.5650865781818</v>
      </c>
      <c r="AA51" s="135">
        <f t="shared" si="32"/>
        <v>4120.5886318522726</v>
      </c>
    </row>
    <row r="52" spans="2:27" ht="16.5" customHeight="1" x14ac:dyDescent="0.35">
      <c r="B52" s="12" t="s">
        <v>362</v>
      </c>
      <c r="C52" s="115">
        <f>SUM(E52:P52)</f>
        <v>1307.7773993103347</v>
      </c>
      <c r="D52" s="128">
        <f>(D17*$C$5+D28*$C$6+D39*$C$7)</f>
        <v>1900</v>
      </c>
      <c r="E52" s="128">
        <f>(D18*$C$5+D29*$C$6+D40*$C$7)</f>
        <v>79.166666666666657</v>
      </c>
      <c r="F52" s="128">
        <f t="shared" ref="F52:AA52" si="33">(E18*$C$5+E29*$C$6+E40*$C$7)</f>
        <v>84.548611111111114</v>
      </c>
      <c r="G52" s="128">
        <f t="shared" si="33"/>
        <v>89.946469907407405</v>
      </c>
      <c r="H52" s="128">
        <f t="shared" si="33"/>
        <v>95.569239486882708</v>
      </c>
      <c r="I52" s="128">
        <f t="shared" si="33"/>
        <v>101.4262911321695</v>
      </c>
      <c r="J52" s="128">
        <f t="shared" si="33"/>
        <v>107.11071992934323</v>
      </c>
      <c r="K52" s="128">
        <f t="shared" si="33"/>
        <v>112.40699992639918</v>
      </c>
      <c r="L52" s="128">
        <f t="shared" si="33"/>
        <v>117.50729158999917</v>
      </c>
      <c r="M52" s="128">
        <f t="shared" si="33"/>
        <v>122.82009540624912</v>
      </c>
      <c r="N52" s="128">
        <f t="shared" si="33"/>
        <v>127.72926604817619</v>
      </c>
      <c r="O52" s="128">
        <f t="shared" si="33"/>
        <v>132.63465213351685</v>
      </c>
      <c r="P52" s="128">
        <f t="shared" si="33"/>
        <v>136.91109597241336</v>
      </c>
      <c r="Q52" s="128">
        <f t="shared" si="33"/>
        <v>140.94905830459729</v>
      </c>
      <c r="R52" s="128">
        <f t="shared" si="33"/>
        <v>145.15526906728883</v>
      </c>
      <c r="S52" s="128">
        <f t="shared" si="33"/>
        <v>148.91173861175918</v>
      </c>
      <c r="T52" s="128">
        <f t="shared" si="33"/>
        <v>152.61639438724916</v>
      </c>
      <c r="U52" s="128">
        <f t="shared" si="33"/>
        <v>155.8504108200512</v>
      </c>
      <c r="V52" s="128">
        <f t="shared" si="33"/>
        <v>158.59417793755335</v>
      </c>
      <c r="W52" s="128">
        <f t="shared" si="33"/>
        <v>161.24393535161806</v>
      </c>
      <c r="X52" s="128">
        <f t="shared" si="33"/>
        <v>164.00409932460215</v>
      </c>
      <c r="Y52" s="128">
        <f t="shared" si="33"/>
        <v>166.46260346312724</v>
      </c>
      <c r="Z52" s="128">
        <f t="shared" si="33"/>
        <v>169.02354527409088</v>
      </c>
      <c r="AA52" s="128">
        <f t="shared" si="33"/>
        <v>171.69119299384468</v>
      </c>
    </row>
    <row r="53" spans="2:27" ht="16.5" customHeight="1" x14ac:dyDescent="0.35">
      <c r="B53" s="126" t="s">
        <v>364</v>
      </c>
      <c r="C53" s="115">
        <f>SUM(E53:P53)</f>
        <v>-1065</v>
      </c>
      <c r="D53" s="127"/>
      <c r="E53" s="127">
        <f>(D19*$C$5+D30*$C$6+D41*$C$7)</f>
        <v>-75</v>
      </c>
      <c r="F53" s="127">
        <f t="shared" ref="F53:AA53" si="34">(E19*$C$5+E30*$C$6+E41*$C$7)</f>
        <v>-70</v>
      </c>
      <c r="G53" s="127">
        <f t="shared" si="34"/>
        <v>-70</v>
      </c>
      <c r="H53" s="127">
        <f t="shared" si="34"/>
        <v>-75</v>
      </c>
      <c r="I53" s="127">
        <f t="shared" si="34"/>
        <v>-75</v>
      </c>
      <c r="J53" s="127">
        <f t="shared" si="34"/>
        <v>-95</v>
      </c>
      <c r="K53" s="127">
        <f t="shared" si="34"/>
        <v>-90</v>
      </c>
      <c r="L53" s="127">
        <f t="shared" si="34"/>
        <v>-90</v>
      </c>
      <c r="M53" s="127">
        <f t="shared" si="34"/>
        <v>-90</v>
      </c>
      <c r="N53" s="127">
        <f t="shared" si="34"/>
        <v>-100</v>
      </c>
      <c r="O53" s="127">
        <f t="shared" si="34"/>
        <v>-120</v>
      </c>
      <c r="P53" s="127">
        <f t="shared" si="34"/>
        <v>-115</v>
      </c>
      <c r="Q53" s="127">
        <f t="shared" si="34"/>
        <v>-115</v>
      </c>
      <c r="R53" s="127">
        <f t="shared" si="34"/>
        <v>-115</v>
      </c>
      <c r="S53" s="127">
        <f t="shared" si="34"/>
        <v>-115</v>
      </c>
      <c r="T53" s="127">
        <f t="shared" si="34"/>
        <v>-135</v>
      </c>
      <c r="U53" s="127">
        <f t="shared" si="34"/>
        <v>-135</v>
      </c>
      <c r="V53" s="127">
        <f t="shared" si="34"/>
        <v>-135</v>
      </c>
      <c r="W53" s="127">
        <f t="shared" si="34"/>
        <v>-135</v>
      </c>
      <c r="X53" s="127">
        <f t="shared" si="34"/>
        <v>-135</v>
      </c>
      <c r="Y53" s="127">
        <f t="shared" si="34"/>
        <v>-135</v>
      </c>
      <c r="Z53" s="127">
        <f t="shared" si="34"/>
        <v>-135</v>
      </c>
      <c r="AA53" s="127">
        <f t="shared" si="34"/>
        <v>-130</v>
      </c>
    </row>
    <row r="54" spans="2:27" ht="16.5" customHeight="1" x14ac:dyDescent="0.35">
      <c r="B54" s="12" t="s">
        <v>363</v>
      </c>
      <c r="C54" s="115">
        <f>SUM(E54:P54)</f>
        <v>1930</v>
      </c>
      <c r="D54" s="128"/>
      <c r="E54" s="128">
        <f>(D20*($C$6-$C$5)+D31*($C$7-$C$6))</f>
        <v>150</v>
      </c>
      <c r="F54" s="128">
        <f t="shared" ref="F54:AA54" si="35">(E20*($C$6-$C$5)+E31*($C$7-$C$6))</f>
        <v>150</v>
      </c>
      <c r="G54" s="128">
        <f t="shared" si="35"/>
        <v>155</v>
      </c>
      <c r="H54" s="128">
        <f t="shared" si="35"/>
        <v>160</v>
      </c>
      <c r="I54" s="128">
        <f t="shared" si="35"/>
        <v>165</v>
      </c>
      <c r="J54" s="128">
        <f t="shared" si="35"/>
        <v>170</v>
      </c>
      <c r="K54" s="128">
        <f t="shared" si="35"/>
        <v>165</v>
      </c>
      <c r="L54" s="128">
        <f t="shared" si="35"/>
        <v>165</v>
      </c>
      <c r="M54" s="128">
        <f t="shared" si="35"/>
        <v>160</v>
      </c>
      <c r="N54" s="128">
        <f t="shared" si="35"/>
        <v>165</v>
      </c>
      <c r="O54" s="128">
        <f t="shared" si="35"/>
        <v>165</v>
      </c>
      <c r="P54" s="128">
        <f t="shared" si="35"/>
        <v>160</v>
      </c>
      <c r="Q54" s="128">
        <f t="shared" si="35"/>
        <v>160</v>
      </c>
      <c r="R54" s="128">
        <f t="shared" si="35"/>
        <v>155</v>
      </c>
      <c r="S54" s="128">
        <f t="shared" si="35"/>
        <v>155</v>
      </c>
      <c r="T54" s="128">
        <f t="shared" si="35"/>
        <v>155</v>
      </c>
      <c r="U54" s="128">
        <f t="shared" si="35"/>
        <v>155</v>
      </c>
      <c r="V54" s="128">
        <f t="shared" si="35"/>
        <v>150</v>
      </c>
      <c r="W54" s="128">
        <f t="shared" si="35"/>
        <v>150</v>
      </c>
      <c r="X54" s="128">
        <f t="shared" si="35"/>
        <v>150</v>
      </c>
      <c r="Y54" s="128">
        <f t="shared" si="35"/>
        <v>150</v>
      </c>
      <c r="Z54" s="128">
        <f t="shared" si="35"/>
        <v>150</v>
      </c>
      <c r="AA54" s="128">
        <f t="shared" si="35"/>
        <v>145</v>
      </c>
    </row>
    <row r="55" spans="2:27" ht="16.5" customHeight="1" x14ac:dyDescent="0.35">
      <c r="B55" s="129" t="s">
        <v>365</v>
      </c>
      <c r="C55" s="115">
        <f>SUM(E55:P55)</f>
        <v>-690</v>
      </c>
      <c r="D55" s="130"/>
      <c r="E55" s="130">
        <f>(D32*($C$6-$C$5)+D43*($C$7-$C$6))</f>
        <v>-25</v>
      </c>
      <c r="F55" s="130">
        <f t="shared" ref="F55:AA55" si="36">(E32*($C$6-$C$5)+E43*($C$7-$C$6))</f>
        <v>-35</v>
      </c>
      <c r="G55" s="130">
        <f t="shared" si="36"/>
        <v>-40</v>
      </c>
      <c r="H55" s="130">
        <f t="shared" si="36"/>
        <v>-40</v>
      </c>
      <c r="I55" s="130">
        <f t="shared" si="36"/>
        <v>-55</v>
      </c>
      <c r="J55" s="130">
        <f t="shared" si="36"/>
        <v>-55</v>
      </c>
      <c r="K55" s="130">
        <f t="shared" si="36"/>
        <v>-65</v>
      </c>
      <c r="L55" s="130">
        <f t="shared" si="36"/>
        <v>-65</v>
      </c>
      <c r="M55" s="130">
        <f t="shared" si="36"/>
        <v>-75</v>
      </c>
      <c r="N55" s="130">
        <f t="shared" si="36"/>
        <v>-75</v>
      </c>
      <c r="O55" s="130">
        <f t="shared" si="36"/>
        <v>-75</v>
      </c>
      <c r="P55" s="130">
        <f t="shared" si="36"/>
        <v>-85</v>
      </c>
      <c r="Q55" s="130">
        <f t="shared" si="36"/>
        <v>-85</v>
      </c>
      <c r="R55" s="130">
        <f t="shared" si="36"/>
        <v>-95</v>
      </c>
      <c r="S55" s="130">
        <f t="shared" si="36"/>
        <v>-100</v>
      </c>
      <c r="T55" s="130">
        <f t="shared" si="36"/>
        <v>-95</v>
      </c>
      <c r="U55" s="130">
        <f t="shared" si="36"/>
        <v>-110</v>
      </c>
      <c r="V55" s="130">
        <f t="shared" si="36"/>
        <v>-110</v>
      </c>
      <c r="W55" s="130">
        <f t="shared" si="36"/>
        <v>-110</v>
      </c>
      <c r="X55" s="130">
        <f t="shared" si="36"/>
        <v>-120</v>
      </c>
      <c r="Y55" s="130">
        <f t="shared" si="36"/>
        <v>-120</v>
      </c>
      <c r="Z55" s="130">
        <f t="shared" si="36"/>
        <v>-120</v>
      </c>
      <c r="AA55" s="130">
        <f t="shared" si="36"/>
        <v>-120</v>
      </c>
    </row>
    <row r="56" spans="2:27" ht="16.5" customHeight="1" x14ac:dyDescent="0.35">
      <c r="B56" s="6" t="s">
        <v>366</v>
      </c>
      <c r="C56" s="115">
        <f>AVERAGE(E56:P56)</f>
        <v>2739.1195818965302</v>
      </c>
      <c r="D56" s="7">
        <f>(D17*$C$5+D28*$C$6+D39*$C$7)</f>
        <v>1900</v>
      </c>
      <c r="E56" s="7">
        <f>(D22*$C$5+D33*$C$6+D44*$C$7)</f>
        <v>2029.166666666667</v>
      </c>
      <c r="F56" s="7">
        <f t="shared" ref="F56:AA56" si="37">(E22*$C$5+E33*$C$6+E44*$C$7)</f>
        <v>2158.7152777777778</v>
      </c>
      <c r="G56" s="7">
        <f t="shared" si="37"/>
        <v>2293.6617476851852</v>
      </c>
      <c r="H56" s="7">
        <f t="shared" si="37"/>
        <v>2434.2309871720681</v>
      </c>
      <c r="I56" s="7">
        <f t="shared" si="37"/>
        <v>2570.6572783042375</v>
      </c>
      <c r="J56" s="7">
        <f t="shared" si="37"/>
        <v>2697.7679982335808</v>
      </c>
      <c r="K56" s="7">
        <f t="shared" si="37"/>
        <v>2820.1749981599796</v>
      </c>
      <c r="L56" s="7">
        <f t="shared" si="37"/>
        <v>2947.6822897499787</v>
      </c>
      <c r="M56" s="7">
        <f t="shared" si="37"/>
        <v>3065.5023851562282</v>
      </c>
      <c r="N56" s="7">
        <f t="shared" si="37"/>
        <v>3183.2316512044044</v>
      </c>
      <c r="O56" s="7">
        <f t="shared" si="37"/>
        <v>3285.8663033379212</v>
      </c>
      <c r="P56" s="7">
        <f t="shared" si="37"/>
        <v>3382.7773993103347</v>
      </c>
      <c r="Q56" s="7">
        <f t="shared" si="37"/>
        <v>3483.7264576149319</v>
      </c>
      <c r="R56" s="7">
        <f t="shared" si="37"/>
        <v>3573.8817266822207</v>
      </c>
      <c r="S56" s="7">
        <f t="shared" si="37"/>
        <v>3662.7934652939803</v>
      </c>
      <c r="T56" s="7">
        <f t="shared" si="37"/>
        <v>3740.4098596812291</v>
      </c>
      <c r="U56" s="7">
        <f t="shared" si="37"/>
        <v>3806.2602705012805</v>
      </c>
      <c r="V56" s="7">
        <f t="shared" si="37"/>
        <v>3869.8544484388335</v>
      </c>
      <c r="W56" s="7">
        <f t="shared" si="37"/>
        <v>3936.0983837904519</v>
      </c>
      <c r="X56" s="7">
        <f t="shared" si="37"/>
        <v>3995.1024831150544</v>
      </c>
      <c r="Y56" s="7">
        <f t="shared" si="37"/>
        <v>4056.5650865781818</v>
      </c>
      <c r="Z56" s="7">
        <f t="shared" si="37"/>
        <v>4120.5886318522726</v>
      </c>
      <c r="AA56" s="7">
        <f t="shared" si="37"/>
        <v>4187.2798248461168</v>
      </c>
    </row>
    <row r="57" spans="2:27" ht="16.5" customHeight="1" x14ac:dyDescent="0.35">
      <c r="B57" s="6" t="s">
        <v>367</v>
      </c>
      <c r="C57" s="115">
        <f>AVERAGE(E57:P57)</f>
        <v>32869.434982758357</v>
      </c>
      <c r="D57" s="7">
        <f>D56*12</f>
        <v>22800</v>
      </c>
      <c r="E57" s="7">
        <f>E56*12</f>
        <v>24350.000000000004</v>
      </c>
      <c r="F57" s="7">
        <f t="shared" ref="F57:AA57" si="38">F56*12</f>
        <v>25904.583333333336</v>
      </c>
      <c r="G57" s="7">
        <f t="shared" si="38"/>
        <v>27523.940972222223</v>
      </c>
      <c r="H57" s="7">
        <f t="shared" si="38"/>
        <v>29210.771846064818</v>
      </c>
      <c r="I57" s="7">
        <f t="shared" si="38"/>
        <v>30847.88733965085</v>
      </c>
      <c r="J57" s="7">
        <f t="shared" si="38"/>
        <v>32373.215978802968</v>
      </c>
      <c r="K57" s="7">
        <f t="shared" si="38"/>
        <v>33842.099977919759</v>
      </c>
      <c r="L57" s="7">
        <f t="shared" si="38"/>
        <v>35372.187476999745</v>
      </c>
      <c r="M57" s="7">
        <f t="shared" si="38"/>
        <v>36786.028621874735</v>
      </c>
      <c r="N57" s="7">
        <f t="shared" si="38"/>
        <v>38198.77981445285</v>
      </c>
      <c r="O57" s="7">
        <f t="shared" si="38"/>
        <v>39430.395640055052</v>
      </c>
      <c r="P57" s="7">
        <f t="shared" si="38"/>
        <v>40593.328791724016</v>
      </c>
      <c r="Q57" s="7">
        <f t="shared" si="38"/>
        <v>41804.717491379182</v>
      </c>
      <c r="R57" s="7">
        <f t="shared" si="38"/>
        <v>42886.580720186648</v>
      </c>
      <c r="S57" s="7">
        <f t="shared" si="38"/>
        <v>43953.521583527763</v>
      </c>
      <c r="T57" s="7">
        <f t="shared" si="38"/>
        <v>44884.91831617475</v>
      </c>
      <c r="U57" s="7">
        <f t="shared" si="38"/>
        <v>45675.12324601537</v>
      </c>
      <c r="V57" s="7">
        <f t="shared" si="38"/>
        <v>46438.253381266004</v>
      </c>
      <c r="W57" s="7">
        <f t="shared" si="38"/>
        <v>47233.180605485424</v>
      </c>
      <c r="X57" s="7">
        <f t="shared" si="38"/>
        <v>47941.229797380656</v>
      </c>
      <c r="Y57" s="7">
        <f t="shared" si="38"/>
        <v>48678.781038938178</v>
      </c>
      <c r="Z57" s="7">
        <f t="shared" si="38"/>
        <v>49447.063582227274</v>
      </c>
      <c r="AA57" s="7">
        <f t="shared" si="38"/>
        <v>50247.357898153401</v>
      </c>
    </row>
    <row r="58" spans="2:27" ht="16.5" customHeight="1" x14ac:dyDescent="0.35">
      <c r="B58" s="16" t="s">
        <v>368</v>
      </c>
      <c r="C58" s="115">
        <f>SUM(E58:P58)</f>
        <v>1482.7773993103347</v>
      </c>
      <c r="D58" s="136">
        <f>(D52+D54)+(D53+D55)</f>
        <v>1900</v>
      </c>
      <c r="E58" s="136">
        <f>(E52+E54)+(E53+E55)</f>
        <v>129.16666666666666</v>
      </c>
      <c r="F58" s="136">
        <f t="shared" ref="F58:AA58" si="39">(F52+F54)+(F53+F55)</f>
        <v>129.54861111111111</v>
      </c>
      <c r="G58" s="136">
        <f>(G52+G54)+(G53+G55)</f>
        <v>134.94646990740739</v>
      </c>
      <c r="H58" s="136">
        <f t="shared" si="39"/>
        <v>140.56923948688271</v>
      </c>
      <c r="I58" s="136">
        <f t="shared" si="39"/>
        <v>136.42629113216947</v>
      </c>
      <c r="J58" s="136">
        <f t="shared" si="39"/>
        <v>127.11071992934325</v>
      </c>
      <c r="K58" s="136">
        <f t="shared" si="39"/>
        <v>122.40699992639918</v>
      </c>
      <c r="L58" s="136">
        <f t="shared" si="39"/>
        <v>127.50729158999917</v>
      </c>
      <c r="M58" s="136">
        <f t="shared" si="39"/>
        <v>117.82009540624915</v>
      </c>
      <c r="N58" s="136">
        <f t="shared" si="39"/>
        <v>117.72926604817621</v>
      </c>
      <c r="O58" s="136">
        <f t="shared" si="39"/>
        <v>102.63465213351685</v>
      </c>
      <c r="P58" s="136">
        <f t="shared" si="39"/>
        <v>96.911095972413364</v>
      </c>
      <c r="Q58" s="136">
        <f t="shared" si="39"/>
        <v>100.94905830459732</v>
      </c>
      <c r="R58" s="136">
        <f t="shared" si="39"/>
        <v>90.155269067288828</v>
      </c>
      <c r="S58" s="136">
        <f t="shared" si="39"/>
        <v>88.911738611759176</v>
      </c>
      <c r="T58" s="136">
        <f t="shared" si="39"/>
        <v>77.616394387249159</v>
      </c>
      <c r="U58" s="136">
        <f t="shared" si="39"/>
        <v>65.850410820051195</v>
      </c>
      <c r="V58" s="136">
        <f t="shared" si="39"/>
        <v>63.594177937553354</v>
      </c>
      <c r="W58" s="136">
        <f t="shared" si="39"/>
        <v>66.243935351618063</v>
      </c>
      <c r="X58" s="136">
        <f t="shared" si="39"/>
        <v>59.00409932460218</v>
      </c>
      <c r="Y58" s="136">
        <f t="shared" si="39"/>
        <v>61.462603463127266</v>
      </c>
      <c r="Z58" s="136">
        <f t="shared" si="39"/>
        <v>64.023545274090907</v>
      </c>
      <c r="AA58" s="136">
        <f t="shared" si="39"/>
        <v>66.691192993844652</v>
      </c>
    </row>
    <row r="59" spans="2:27" ht="16.5" customHeight="1" x14ac:dyDescent="0.35">
      <c r="B59" s="20" t="s">
        <v>369</v>
      </c>
      <c r="C59" s="147">
        <f>AVERAGE(E59:P59)</f>
        <v>-9.9962203875264152E-2</v>
      </c>
      <c r="D59" s="137"/>
      <c r="E59" s="137">
        <f t="shared" ref="E59" si="40">IFERROR((E58-D58)/ABS(D58),0)</f>
        <v>-0.93201754385964908</v>
      </c>
      <c r="F59" s="137">
        <f t="shared" ref="F59" si="41">IFERROR((F58-E58)/ABS(E58),0)</f>
        <v>2.9569892473119259E-3</v>
      </c>
      <c r="G59" s="137">
        <f t="shared" ref="G59" si="42">IFERROR((G58-F58)/ABS(F58),0)</f>
        <v>4.1666666666666512E-2</v>
      </c>
      <c r="H59" s="137">
        <f t="shared" ref="H59" si="43">IFERROR((H58-G58)/ABS(G58),0)</f>
        <v>4.1666666666666734E-2</v>
      </c>
      <c r="I59" s="137">
        <f t="shared" ref="I59" si="44">IFERROR((I58-H58)/ABS(H58),0)</f>
        <v>-2.9472652550701479E-2</v>
      </c>
      <c r="J59" s="137">
        <f t="shared" ref="J59" si="45">IFERROR((J58-I58)/ABS(I58),0)</f>
        <v>-6.8282815031607921E-2</v>
      </c>
      <c r="K59" s="137">
        <f t="shared" ref="K59" si="46">IFERROR((K58-J58)/ABS(J58),0)</f>
        <v>-3.7004904114764772E-2</v>
      </c>
      <c r="L59" s="137">
        <f t="shared" ref="L59" si="47">IFERROR((L58-K58)/ABS(K58),0)</f>
        <v>4.1666666666666859E-2</v>
      </c>
      <c r="M59" s="137">
        <f t="shared" ref="M59" si="48">IFERROR((M58-L58)/ABS(L58),0)</f>
        <v>-7.5973664430888266E-2</v>
      </c>
      <c r="N59" s="137">
        <f t="shared" ref="N59" si="49">IFERROR((N58-M58)/ABS(M58),0)</f>
        <v>-7.7091567240506766E-4</v>
      </c>
      <c r="O59" s="137">
        <f t="shared" ref="O59" si="50">IFERROR((O58-N58)/ABS(N58),0)</f>
        <v>-0.12821462684123477</v>
      </c>
      <c r="P59" s="137">
        <f t="shared" ref="P59" si="51">IFERROR((P58-O58)/ABS(O58),0)</f>
        <v>-5.5766313249230343E-2</v>
      </c>
      <c r="Q59" s="137">
        <f t="shared" ref="Q59" si="52">IFERROR((Q58-P58)/ABS(P58),0)</f>
        <v>4.1666666666667303E-2</v>
      </c>
      <c r="R59" s="137">
        <f t="shared" ref="R59" si="53">IFERROR((R58-Q58)/ABS(Q58),0)</f>
        <v>-0.10692312953271926</v>
      </c>
      <c r="S59" s="137">
        <f t="shared" ref="S59" si="54">IFERROR((S58-R58)/ABS(R58),0)</f>
        <v>-1.3793208853955305E-2</v>
      </c>
      <c r="T59" s="137">
        <f t="shared" ref="T59" si="55">IFERROR((T58-S58)/ABS(S58),0)</f>
        <v>-0.1270399657106259</v>
      </c>
      <c r="U59" s="137">
        <f t="shared" ref="U59" si="56">IFERROR((U58-T58)/ABS(T58),0)</f>
        <v>-0.1515914731685975</v>
      </c>
      <c r="V59" s="137">
        <f t="shared" ref="V59" si="57">IFERROR((V58-U58)/ABS(U58),0)</f>
        <v>-3.4263003896261593E-2</v>
      </c>
      <c r="W59" s="137">
        <f t="shared" ref="W59" si="58">IFERROR((W58-V58)/ABS(V58),0)</f>
        <v>4.1666666666666442E-2</v>
      </c>
      <c r="X59" s="137">
        <f t="shared" ref="X59" si="59">IFERROR((X58-W58)/ABS(W58),0)</f>
        <v>-0.10929054846435908</v>
      </c>
      <c r="Y59" s="137">
        <f t="shared" ref="Y59" si="60">IFERROR((Y58-X58)/ABS(X58),0)</f>
        <v>4.1666666666666588E-2</v>
      </c>
      <c r="Z59" s="137">
        <f t="shared" ref="Z59" si="61">IFERROR((Z58-Y58)/ABS(Y58),0)</f>
        <v>4.1666666666666741E-2</v>
      </c>
      <c r="AA59" s="137">
        <f t="shared" ref="AA59" si="62">IFERROR((AA58-Z58)/ABS(Z58),0)</f>
        <v>4.1666666666665998E-2</v>
      </c>
    </row>
    <row r="60" spans="2:27" ht="16.5" customHeight="1" x14ac:dyDescent="0.35">
      <c r="B60" s="10" t="s">
        <v>370</v>
      </c>
      <c r="C60" s="147">
        <f>AVERAGE(E60:P60)</f>
        <v>1.0076510268141134</v>
      </c>
      <c r="D60" s="17"/>
      <c r="E60" s="17">
        <f>IFERROR((E51+E54+E53+E55)/E51,0)</f>
        <v>1.0263157894736843</v>
      </c>
      <c r="F60" s="17">
        <f t="shared" ref="F60:AA60" si="63">IFERROR((F51+F54+F53+F55)/F51,0)</f>
        <v>1.0221765913757701</v>
      </c>
      <c r="G60" s="17">
        <f t="shared" si="63"/>
        <v>1.0208457319328947</v>
      </c>
      <c r="H60" s="17">
        <f t="shared" si="63"/>
        <v>1.0196192834647109</v>
      </c>
      <c r="I60" s="17">
        <f t="shared" si="63"/>
        <v>1.0143782575213458</v>
      </c>
      <c r="J60" s="17">
        <f t="shared" si="63"/>
        <v>1.0077801114013896</v>
      </c>
      <c r="K60" s="17">
        <f t="shared" si="63"/>
        <v>1.0037067679676488</v>
      </c>
      <c r="L60" s="17">
        <f t="shared" si="63"/>
        <v>1.0035458792473959</v>
      </c>
      <c r="M60" s="17">
        <f t="shared" si="63"/>
        <v>0.99830375206399058</v>
      </c>
      <c r="N60" s="17">
        <f t="shared" si="63"/>
        <v>0.99673789195258111</v>
      </c>
      <c r="O60" s="17">
        <f t="shared" si="63"/>
        <v>0.99057561519638404</v>
      </c>
      <c r="P60" s="17">
        <f t="shared" si="63"/>
        <v>0.98782665017156468</v>
      </c>
      <c r="Q60" s="17">
        <f t="shared" si="63"/>
        <v>0.98817539693621137</v>
      </c>
      <c r="R60" s="17">
        <f t="shared" si="63"/>
        <v>0.98421230809331262</v>
      </c>
      <c r="S60" s="17">
        <f t="shared" si="63"/>
        <v>0.98321153172136433</v>
      </c>
      <c r="T60" s="17">
        <f t="shared" si="63"/>
        <v>0.97952382499569068</v>
      </c>
      <c r="U60" s="17">
        <f t="shared" si="63"/>
        <v>0.97593846573603293</v>
      </c>
      <c r="V60" s="17">
        <f t="shared" si="63"/>
        <v>0.97504111825030593</v>
      </c>
      <c r="W60" s="17">
        <f t="shared" si="63"/>
        <v>0.97545127309934754</v>
      </c>
      <c r="X60" s="17">
        <f t="shared" si="63"/>
        <v>0.97332383752590923</v>
      </c>
      <c r="Y60" s="17">
        <f t="shared" si="63"/>
        <v>0.97371782064570978</v>
      </c>
      <c r="Z60" s="17">
        <f t="shared" si="63"/>
        <v>0.97411603221962095</v>
      </c>
      <c r="AA60" s="17">
        <f t="shared" si="63"/>
        <v>0.97451820373711973</v>
      </c>
    </row>
    <row r="61" spans="2:27" ht="16.5" customHeight="1" x14ac:dyDescent="0.35">
      <c r="B61" s="12" t="s">
        <v>371</v>
      </c>
      <c r="C61" s="147">
        <f>AVERAGE(E61:P61)</f>
        <v>0.94459737431437818</v>
      </c>
      <c r="D61" s="13"/>
      <c r="E61" s="13">
        <f>IFERROR((E51+E53+E55)/E51,0)</f>
        <v>0.94736842105263153</v>
      </c>
      <c r="F61" s="13">
        <f t="shared" ref="F61:AA61" si="64">IFERROR((F51+F53+F55)/F51,0)</f>
        <v>0.94825462012320327</v>
      </c>
      <c r="G61" s="13">
        <f t="shared" si="64"/>
        <v>0.94904376638625731</v>
      </c>
      <c r="H61" s="13">
        <f t="shared" si="64"/>
        <v>0.94986183114573863</v>
      </c>
      <c r="I61" s="13">
        <f t="shared" si="64"/>
        <v>0.94659504349214385</v>
      </c>
      <c r="J61" s="13">
        <f t="shared" si="64"/>
        <v>0.94164916448957792</v>
      </c>
      <c r="K61" s="13">
        <f t="shared" si="64"/>
        <v>0.94254509650144513</v>
      </c>
      <c r="L61" s="13">
        <f t="shared" si="64"/>
        <v>0.94503887166536493</v>
      </c>
      <c r="M61" s="13">
        <f t="shared" si="64"/>
        <v>0.94402381811168823</v>
      </c>
      <c r="N61" s="13">
        <f t="shared" si="64"/>
        <v>0.94291310917016902</v>
      </c>
      <c r="O61" s="13">
        <f t="shared" si="64"/>
        <v>0.93874149877649649</v>
      </c>
      <c r="P61" s="13">
        <f t="shared" si="64"/>
        <v>0.93913325085782351</v>
      </c>
      <c r="Q61" s="13">
        <f t="shared" si="64"/>
        <v>0.94087698468105674</v>
      </c>
      <c r="R61" s="13">
        <f t="shared" si="64"/>
        <v>0.93971972181082997</v>
      </c>
      <c r="S61" s="13">
        <f t="shared" si="64"/>
        <v>0.93984132200155568</v>
      </c>
      <c r="T61" s="13">
        <f t="shared" si="64"/>
        <v>0.93720639665345151</v>
      </c>
      <c r="U61" s="13">
        <f t="shared" si="64"/>
        <v>0.93449915672586759</v>
      </c>
      <c r="V61" s="13">
        <f t="shared" si="64"/>
        <v>0.9356323575928942</v>
      </c>
      <c r="W61" s="13">
        <f t="shared" si="64"/>
        <v>0.93669012536147522</v>
      </c>
      <c r="X61" s="13">
        <f t="shared" si="64"/>
        <v>0.93521503399149397</v>
      </c>
      <c r="Y61" s="13">
        <f t="shared" si="64"/>
        <v>0.93617185013958093</v>
      </c>
      <c r="Z61" s="13">
        <f t="shared" si="64"/>
        <v>0.93713893539050819</v>
      </c>
      <c r="AA61" s="13">
        <f t="shared" si="64"/>
        <v>0.93932905651695187</v>
      </c>
    </row>
    <row r="62" spans="2:27" ht="16.5" customHeight="1" x14ac:dyDescent="0.35">
      <c r="B62" s="125" t="s">
        <v>372</v>
      </c>
      <c r="C62" s="146">
        <f>AVERAGE(E62:P62)</f>
        <v>1.9067887682269042</v>
      </c>
      <c r="D62" s="138"/>
      <c r="E62" s="138">
        <f>IFERROR((E52+E54)/ABS(E53+E55),0)</f>
        <v>2.2916666666666665</v>
      </c>
      <c r="F62" s="138">
        <f t="shared" ref="F62:AA62" si="65">IFERROR((F52+F54)/ABS(F53+F55),0)</f>
        <v>2.2337962962962963</v>
      </c>
      <c r="G62" s="138">
        <f t="shared" si="65"/>
        <v>2.22678609006734</v>
      </c>
      <c r="H62" s="138">
        <f t="shared" si="65"/>
        <v>2.2223412129294147</v>
      </c>
      <c r="I62" s="138">
        <f t="shared" si="65"/>
        <v>2.0494330087089958</v>
      </c>
      <c r="J62" s="138">
        <f t="shared" si="65"/>
        <v>1.8474047995289551</v>
      </c>
      <c r="K62" s="138">
        <f t="shared" si="65"/>
        <v>1.7897225801703174</v>
      </c>
      <c r="L62" s="138">
        <f t="shared" si="65"/>
        <v>1.8226276876774139</v>
      </c>
      <c r="M62" s="138">
        <f t="shared" si="65"/>
        <v>1.714061184280298</v>
      </c>
      <c r="N62" s="138">
        <f t="shared" si="65"/>
        <v>1.6727386631324355</v>
      </c>
      <c r="O62" s="138">
        <f t="shared" si="65"/>
        <v>1.5263315494026506</v>
      </c>
      <c r="P62" s="138">
        <f t="shared" si="65"/>
        <v>1.4845554798620668</v>
      </c>
      <c r="Q62" s="138">
        <f t="shared" si="65"/>
        <v>1.5047452915229866</v>
      </c>
      <c r="R62" s="138">
        <f t="shared" si="65"/>
        <v>1.4293108050823278</v>
      </c>
      <c r="S62" s="138">
        <f t="shared" si="65"/>
        <v>1.413542970287252</v>
      </c>
      <c r="T62" s="138">
        <f t="shared" si="65"/>
        <v>1.3374625842923877</v>
      </c>
      <c r="U62" s="138">
        <f t="shared" si="65"/>
        <v>1.268777187020617</v>
      </c>
      <c r="V62" s="138">
        <f t="shared" si="65"/>
        <v>1.2595680732145036</v>
      </c>
      <c r="W62" s="138">
        <f t="shared" si="65"/>
        <v>1.270383409598441</v>
      </c>
      <c r="X62" s="138">
        <f t="shared" si="65"/>
        <v>1.2313886248023616</v>
      </c>
      <c r="Y62" s="138">
        <f t="shared" si="65"/>
        <v>1.2410298175024599</v>
      </c>
      <c r="Z62" s="138">
        <f t="shared" si="65"/>
        <v>1.2510727265650623</v>
      </c>
      <c r="AA62" s="138">
        <f t="shared" si="65"/>
        <v>1.2667647719753785</v>
      </c>
    </row>
  </sheetData>
  <mergeCells count="7">
    <mergeCell ref="B37:AA37"/>
    <mergeCell ref="B48:AA48"/>
    <mergeCell ref="B2:G2"/>
    <mergeCell ref="B3:G3"/>
    <mergeCell ref="B9:AA9"/>
    <mergeCell ref="B15:AA15"/>
    <mergeCell ref="B26:AA26"/>
  </mergeCells>
  <conditionalFormatting sqref="D50:D62">
    <cfRule type="cellIs" dxfId="17" priority="1" operator="equal">
      <formula>""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780A-D253-4881-8CF0-0E28B0175296}">
  <sheetPr>
    <tabColor rgb="FFFFC000"/>
  </sheetPr>
  <dimension ref="B1:Q78"/>
  <sheetViews>
    <sheetView showGridLines="0" zoomScaleNormal="100" workbookViewId="0">
      <pane xSplit="1" ySplit="1" topLeftCell="B2" activePane="bottomRight" state="frozen"/>
      <selection activeCell="B6" sqref="B6"/>
      <selection pane="topRight" activeCell="B6" sqref="B6"/>
      <selection pane="bottomLeft" activeCell="B6" sqref="B6"/>
      <selection pane="bottomRight"/>
    </sheetView>
  </sheetViews>
  <sheetFormatPr defaultColWidth="8.6328125" defaultRowHeight="14.5" x14ac:dyDescent="0.35"/>
  <cols>
    <col min="1" max="1" width="2" customWidth="1"/>
    <col min="2" max="2" width="35.54296875" bestFit="1" customWidth="1"/>
    <col min="3" max="3" width="17.7265625" bestFit="1" customWidth="1"/>
    <col min="4" max="4" width="31.54296875" customWidth="1"/>
    <col min="5" max="5" width="31.7265625" customWidth="1"/>
    <col min="6" max="17" width="9.7265625" customWidth="1"/>
  </cols>
  <sheetData>
    <row r="1" spans="2:4" ht="25.5" customHeight="1" x14ac:dyDescent="0.35">
      <c r="B1" s="226" t="s">
        <v>373</v>
      </c>
      <c r="C1" s="226"/>
      <c r="D1" s="226"/>
    </row>
    <row r="2" spans="2:4" ht="4.5" customHeight="1" x14ac:dyDescent="0.35">
      <c r="B2" s="69"/>
      <c r="C2" s="69"/>
      <c r="D2" s="69"/>
    </row>
    <row r="3" spans="2:4" ht="15.75" customHeight="1" x14ac:dyDescent="0.35">
      <c r="B3" s="223" t="s">
        <v>374</v>
      </c>
      <c r="C3" s="224"/>
      <c r="D3" s="225"/>
    </row>
    <row r="4" spans="2:4" ht="15.75" customHeight="1" x14ac:dyDescent="0.35">
      <c r="B4" s="44" t="s">
        <v>375</v>
      </c>
      <c r="C4" s="45" t="s">
        <v>376</v>
      </c>
      <c r="D4" s="45" t="s">
        <v>172</v>
      </c>
    </row>
    <row r="5" spans="2:4" ht="16.5" customHeight="1" x14ac:dyDescent="0.35">
      <c r="B5" s="20" t="s">
        <v>377</v>
      </c>
      <c r="C5" s="162">
        <f>'Revenue (Monthly)'!C11/SUM('Revenue (Monthly)'!C11:C13)*'Revenue (Monthly)'!C5+'Revenue (Monthly)'!C12/SUM('Revenue (Monthly)'!C11:C13)*'Revenue (Monthly)'!C6+'Revenue (Monthly)'!C13/SUM('Revenue (Monthly)'!C11:C13)*'Revenue (Monthly)'!C7</f>
        <v>9.2671080571746067</v>
      </c>
      <c r="D5" s="139" t="s">
        <v>378</v>
      </c>
    </row>
    <row r="6" spans="2:4" ht="16.5" customHeight="1" x14ac:dyDescent="0.35">
      <c r="B6" s="26" t="s">
        <v>379</v>
      </c>
      <c r="C6" s="116">
        <f>'Financials (Annual)'!E8</f>
        <v>0.66999999999999993</v>
      </c>
      <c r="D6" s="139" t="s">
        <v>380</v>
      </c>
    </row>
    <row r="7" spans="2:4" ht="16.5" customHeight="1" x14ac:dyDescent="0.35">
      <c r="B7" s="20" t="s">
        <v>478</v>
      </c>
      <c r="C7" s="116">
        <f>'Revenue (Monthly)'!C11/SUM('Revenue (Monthly)'!C11:C13)*'Revenue (Monthly)'!D5+'Revenue (Monthly)'!C12/SUM('Revenue (Monthly)'!C11:C13)*'Revenue (Monthly)'!D6+'Revenue (Monthly)'!C13/SUM('Revenue (Monthly)'!C11:C13)*'Revenue (Monthly)'!D7</f>
        <v>3.3333333333333326E-2</v>
      </c>
      <c r="D7" s="139" t="s">
        <v>381</v>
      </c>
    </row>
    <row r="8" spans="2:4" ht="16.5" customHeight="1" x14ac:dyDescent="0.35">
      <c r="B8" s="26" t="s">
        <v>480</v>
      </c>
      <c r="C8" s="163">
        <f>'Revenue (Monthly)'!C56*Assumptions!G13</f>
        <v>410.86793728447952</v>
      </c>
      <c r="D8" s="139" t="s">
        <v>382</v>
      </c>
    </row>
    <row r="9" spans="2:4" ht="16.5" customHeight="1" x14ac:dyDescent="0.35">
      <c r="B9" s="20" t="s">
        <v>481</v>
      </c>
      <c r="C9" s="163">
        <f>'Revenue (Monthly)'!C56*(Assumptions!G12+Assumptions!G14)</f>
        <v>876.51826620688973</v>
      </c>
      <c r="D9" s="139" t="s">
        <v>383</v>
      </c>
    </row>
    <row r="10" spans="2:4" ht="16.5" customHeight="1" x14ac:dyDescent="0.35">
      <c r="B10" s="26" t="s">
        <v>384</v>
      </c>
      <c r="C10" s="3">
        <f>0.2/12</f>
        <v>1.6666666666666666E-2</v>
      </c>
      <c r="D10" s="139" t="s">
        <v>479</v>
      </c>
    </row>
    <row r="11" spans="2:4" ht="7.5" customHeight="1" x14ac:dyDescent="0.35">
      <c r="B11" s="4"/>
      <c r="C11" s="4"/>
      <c r="D11" s="4"/>
    </row>
    <row r="12" spans="2:4" ht="15.75" customHeight="1" x14ac:dyDescent="0.35">
      <c r="B12" s="223" t="s">
        <v>385</v>
      </c>
      <c r="C12" s="224"/>
      <c r="D12" s="225"/>
    </row>
    <row r="13" spans="2:4" ht="15.75" customHeight="1" x14ac:dyDescent="0.35">
      <c r="B13" s="44" t="s">
        <v>386</v>
      </c>
      <c r="C13" s="45" t="s">
        <v>387</v>
      </c>
      <c r="D13" s="45" t="s">
        <v>446</v>
      </c>
    </row>
    <row r="14" spans="2:4" ht="16.5" customHeight="1" x14ac:dyDescent="0.35">
      <c r="B14" s="20" t="s">
        <v>388</v>
      </c>
      <c r="C14" s="15">
        <f>'Revenue (Monthly)'!$C$11/SUM('Revenue (Monthly)'!$C$11:$C$13)*'Revenue (Monthly)'!D11+'Revenue (Monthly)'!$C$12/SUM('Revenue (Monthly)'!$C$11:$C$13)*'Revenue (Monthly)'!D12+'Revenue (Monthly)'!$C$13/SUM('Revenue (Monthly)'!$C$11:$C$13)*'Revenue (Monthly)'!D13</f>
        <v>4.9983702191321742</v>
      </c>
      <c r="D14" s="183">
        <f t="shared" ref="D14:D25" si="0">$C$8</f>
        <v>410.86793728447952</v>
      </c>
    </row>
    <row r="15" spans="2:4" ht="16.5" customHeight="1" x14ac:dyDescent="0.35">
      <c r="B15" s="26" t="s">
        <v>389</v>
      </c>
      <c r="C15" s="15">
        <f>'Revenue (Monthly)'!$C$11/SUM('Revenue (Monthly)'!$C$11:$C$13)*'Revenue (Monthly)'!E11+'Revenue (Monthly)'!$C$12/SUM('Revenue (Monthly)'!$C$11:$C$13)*'Revenue (Monthly)'!E12+'Revenue (Monthly)'!$C$13/SUM('Revenue (Monthly)'!$C$11:$C$13)*'Revenue (Monthly)'!E13</f>
        <v>4.873742485061447</v>
      </c>
      <c r="D15" s="183">
        <f t="shared" si="0"/>
        <v>410.86793728447952</v>
      </c>
    </row>
    <row r="16" spans="2:4" ht="16.5" customHeight="1" x14ac:dyDescent="0.35">
      <c r="B16" s="20" t="s">
        <v>390</v>
      </c>
      <c r="C16" s="15">
        <f>'Revenue (Monthly)'!$C$11/SUM('Revenue (Monthly)'!$C$11:$C$13)*'Revenue (Monthly)'!F11+'Revenue (Monthly)'!$C$12/SUM('Revenue (Monthly)'!$C$11:$C$13)*'Revenue (Monthly)'!F12+'Revenue (Monthly)'!$C$13/SUM('Revenue (Monthly)'!$C$11:$C$13)*'Revenue (Monthly)'!F13</f>
        <v>4.7799667355673678</v>
      </c>
      <c r="D16" s="183">
        <f t="shared" si="0"/>
        <v>410.86793728447952</v>
      </c>
    </row>
    <row r="17" spans="2:17" ht="16.5" customHeight="1" x14ac:dyDescent="0.35">
      <c r="B17" s="26" t="s">
        <v>391</v>
      </c>
      <c r="C17" s="15">
        <f>'Revenue (Monthly)'!$C$11/SUM('Revenue (Monthly)'!$C$11:$C$13)*'Revenue (Monthly)'!G11+'Revenue (Monthly)'!$C$12/SUM('Revenue (Monthly)'!$C$11:$C$13)*'Revenue (Monthly)'!G12+'Revenue (Monthly)'!$C$13/SUM('Revenue (Monthly)'!$C$11:$C$13)*'Revenue (Monthly)'!G13</f>
        <v>4.6914686326537209</v>
      </c>
      <c r="D17" s="183">
        <f t="shared" si="0"/>
        <v>410.86793728447952</v>
      </c>
    </row>
    <row r="18" spans="2:17" ht="16.5" customHeight="1" x14ac:dyDescent="0.35">
      <c r="B18" s="20" t="s">
        <v>392</v>
      </c>
      <c r="C18" s="15">
        <f>'Revenue (Monthly)'!$C$11/SUM('Revenue (Monthly)'!$C$11:$C$13)*'Revenue (Monthly)'!H11+'Revenue (Monthly)'!$C$12/SUM('Revenue (Monthly)'!$C$11:$C$13)*'Revenue (Monthly)'!H12+'Revenue (Monthly)'!$C$13/SUM('Revenue (Monthly)'!$C$11:$C$13)*'Revenue (Monthly)'!H13</f>
        <v>4.6084680782613567</v>
      </c>
      <c r="D18" s="183">
        <f t="shared" si="0"/>
        <v>410.86793728447952</v>
      </c>
    </row>
    <row r="19" spans="2:17" ht="16.5" customHeight="1" x14ac:dyDescent="0.35">
      <c r="B19" s="26" t="s">
        <v>393</v>
      </c>
      <c r="C19" s="15">
        <f>'Revenue (Monthly)'!$C$11/SUM('Revenue (Monthly)'!$C$11:$C$13)*'Revenue (Monthly)'!I11+'Revenue (Monthly)'!$C$12/SUM('Revenue (Monthly)'!$C$11:$C$13)*'Revenue (Monthly)'!I12+'Revenue (Monthly)'!$C$13/SUM('Revenue (Monthly)'!$C$11:$C$13)*'Revenue (Monthly)'!I13</f>
        <v>4.5371397120956063</v>
      </c>
      <c r="D19" s="183">
        <f t="shared" si="0"/>
        <v>410.86793728447952</v>
      </c>
    </row>
    <row r="20" spans="2:17" ht="16.5" customHeight="1" x14ac:dyDescent="0.35">
      <c r="B20" s="20" t="s">
        <v>394</v>
      </c>
      <c r="C20" s="15">
        <f>'Revenue (Monthly)'!$C$11/SUM('Revenue (Monthly)'!$C$11:$C$13)*'Revenue (Monthly)'!J11+'Revenue (Monthly)'!$C$12/SUM('Revenue (Monthly)'!$C$11:$C$13)*'Revenue (Monthly)'!J12+'Revenue (Monthly)'!$C$13/SUM('Revenue (Monthly)'!$C$11:$C$13)*'Revenue (Monthly)'!J13</f>
        <v>4.4570556131626091</v>
      </c>
      <c r="D20" s="183">
        <f t="shared" si="0"/>
        <v>410.86793728447952</v>
      </c>
    </row>
    <row r="21" spans="2:17" ht="16.5" customHeight="1" x14ac:dyDescent="0.35">
      <c r="B21" s="26" t="s">
        <v>395</v>
      </c>
      <c r="C21" s="15">
        <f>'Revenue (Monthly)'!$C$11/SUM('Revenue (Monthly)'!$C$11:$C$13)*'Revenue (Monthly)'!K11+'Revenue (Monthly)'!$C$12/SUM('Revenue (Monthly)'!$C$11:$C$13)*'Revenue (Monthly)'!K12+'Revenue (Monthly)'!$C$13/SUM('Revenue (Monthly)'!$C$11:$C$13)*'Revenue (Monthly)'!K13</f>
        <v>4.4080597864574624</v>
      </c>
      <c r="D21" s="183">
        <f t="shared" si="0"/>
        <v>410.86793728447952</v>
      </c>
    </row>
    <row r="22" spans="2:17" ht="16.5" customHeight="1" x14ac:dyDescent="0.35">
      <c r="B22" s="20" t="s">
        <v>396</v>
      </c>
      <c r="C22" s="15">
        <f>'Revenue (Monthly)'!$C$11/SUM('Revenue (Monthly)'!$C$11:$C$13)*'Revenue (Monthly)'!L11+'Revenue (Monthly)'!$C$12/SUM('Revenue (Monthly)'!$C$11:$C$13)*'Revenue (Monthly)'!L12+'Revenue (Monthly)'!$C$13/SUM('Revenue (Monthly)'!$C$11:$C$13)*'Revenue (Monthly)'!L13</f>
        <v>4.3570224669729338</v>
      </c>
      <c r="D22" s="183">
        <f t="shared" si="0"/>
        <v>410.86793728447952</v>
      </c>
    </row>
    <row r="23" spans="2:17" ht="16.5" customHeight="1" x14ac:dyDescent="0.35">
      <c r="B23" s="26" t="s">
        <v>397</v>
      </c>
      <c r="C23" s="15">
        <f>'Revenue (Monthly)'!$C$11/SUM('Revenue (Monthly)'!$C$11:$C$13)*'Revenue (Monthly)'!M11+'Revenue (Monthly)'!$C$12/SUM('Revenue (Monthly)'!$C$11:$C$13)*'Revenue (Monthly)'!M12+'Revenue (Monthly)'!$C$13/SUM('Revenue (Monthly)'!$C$11:$C$13)*'Revenue (Monthly)'!M13</f>
        <v>4.317369440023306</v>
      </c>
      <c r="D23" s="183">
        <f t="shared" si="0"/>
        <v>410.86793728447952</v>
      </c>
    </row>
    <row r="24" spans="2:17" ht="16.5" customHeight="1" x14ac:dyDescent="0.35">
      <c r="B24" s="20" t="s">
        <v>398</v>
      </c>
      <c r="C24" s="15">
        <f>'Revenue (Monthly)'!$C$11/SUM('Revenue (Monthly)'!$C$11:$C$13)*'Revenue (Monthly)'!N11+'Revenue (Monthly)'!$C$12/SUM('Revenue (Monthly)'!$C$11:$C$13)*'Revenue (Monthly)'!N12+'Revenue (Monthly)'!$C$13/SUM('Revenue (Monthly)'!$C$11:$C$13)*'Revenue (Monthly)'!N13</f>
        <v>4.2643349109234947</v>
      </c>
      <c r="D24" s="183">
        <f t="shared" si="0"/>
        <v>410.86793728447952</v>
      </c>
    </row>
    <row r="25" spans="2:17" ht="16.5" customHeight="1" x14ac:dyDescent="0.35">
      <c r="B25" s="26" t="s">
        <v>399</v>
      </c>
      <c r="C25" s="15">
        <f>'Revenue (Monthly)'!$C$11/SUM('Revenue (Monthly)'!$C$11:$C$13)*'Revenue (Monthly)'!O11+'Revenue (Monthly)'!$C$12/SUM('Revenue (Monthly)'!$C$11:$C$13)*'Revenue (Monthly)'!O12+'Revenue (Monthly)'!$C$13/SUM('Revenue (Monthly)'!$C$11:$C$13)*'Revenue (Monthly)'!O13</f>
        <v>4.2016871951213135</v>
      </c>
      <c r="D25" s="183">
        <f t="shared" si="0"/>
        <v>410.86793728447952</v>
      </c>
    </row>
    <row r="26" spans="2:17" ht="7.5" customHeight="1" x14ac:dyDescent="0.35"/>
    <row r="27" spans="2:17" ht="15.75" customHeight="1" x14ac:dyDescent="0.35">
      <c r="B27" s="219" t="s">
        <v>400</v>
      </c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</row>
    <row r="28" spans="2:17" ht="16.5" customHeight="1" x14ac:dyDescent="0.35">
      <c r="B28" s="123" t="s">
        <v>401</v>
      </c>
      <c r="C28" s="123" t="s">
        <v>402</v>
      </c>
      <c r="D28" s="123" t="s">
        <v>403</v>
      </c>
      <c r="E28" s="83" t="s">
        <v>406</v>
      </c>
      <c r="F28" s="83" t="s">
        <v>454</v>
      </c>
      <c r="G28" s="83" t="s">
        <v>455</v>
      </c>
      <c r="H28" s="83" t="s">
        <v>456</v>
      </c>
      <c r="I28" s="83" t="s">
        <v>457</v>
      </c>
      <c r="J28" s="83" t="s">
        <v>458</v>
      </c>
      <c r="K28" s="83" t="s">
        <v>459</v>
      </c>
      <c r="L28" s="83" t="s">
        <v>460</v>
      </c>
      <c r="M28" s="83" t="s">
        <v>461</v>
      </c>
      <c r="N28" s="83" t="s">
        <v>462</v>
      </c>
      <c r="O28" s="83" t="s">
        <v>472</v>
      </c>
      <c r="P28" s="83" t="s">
        <v>473</v>
      </c>
      <c r="Q28" s="83" t="s">
        <v>474</v>
      </c>
    </row>
    <row r="29" spans="2:17" ht="16.5" customHeight="1" x14ac:dyDescent="0.35">
      <c r="B29" s="20" t="s">
        <v>388</v>
      </c>
      <c r="C29" s="115">
        <f>C14</f>
        <v>4.9983702191321742</v>
      </c>
      <c r="D29" s="3">
        <v>1</v>
      </c>
      <c r="E29" s="13">
        <v>1</v>
      </c>
      <c r="F29" s="13">
        <f t="shared" ref="F29:F40" si="1">(1-$C$7)^1</f>
        <v>0.96666666666666667</v>
      </c>
      <c r="G29" s="13">
        <f t="shared" ref="G29:G40" si="2">(1-$C$7)^2</f>
        <v>0.93444444444444441</v>
      </c>
      <c r="H29" s="13">
        <f t="shared" ref="H29:H40" si="3">(1-$C$7)^3</f>
        <v>0.90329629629629626</v>
      </c>
      <c r="I29" s="13">
        <f t="shared" ref="I29:I40" si="4">(1-$C$7)^4</f>
        <v>0.87318641975308631</v>
      </c>
      <c r="J29" s="13">
        <f t="shared" ref="J29:J40" si="5">(1-$C$7)^5</f>
        <v>0.84408020576131682</v>
      </c>
      <c r="K29" s="140">
        <f t="shared" ref="K29:K40" si="6">(1-$C$7)^6</f>
        <v>0.81594419890260617</v>
      </c>
      <c r="L29" s="140">
        <f t="shared" ref="L29:L40" si="7">(1-$C$7)^7</f>
        <v>0.78874605893918592</v>
      </c>
      <c r="M29" s="140">
        <f t="shared" ref="M29:M40" si="8">(1-$C$7)^8</f>
        <v>0.76245452364121302</v>
      </c>
      <c r="N29" s="140">
        <f t="shared" ref="N29:N40" si="9">(1-$C$7)^9</f>
        <v>0.73703937285317256</v>
      </c>
      <c r="O29" s="140">
        <f t="shared" ref="O29:O40" si="10">(1-$C$7)^10</f>
        <v>0.71247139375806678</v>
      </c>
      <c r="P29" s="140">
        <f t="shared" ref="P29:P40" si="11">(1-$C$7)^11</f>
        <v>0.68872234729946458</v>
      </c>
      <c r="Q29" s="140">
        <f t="shared" ref="Q29:Q40" si="12">(1-$C$7)^12</f>
        <v>0.6657649357228157</v>
      </c>
    </row>
    <row r="30" spans="2:17" ht="16.5" customHeight="1" x14ac:dyDescent="0.35">
      <c r="B30" s="26" t="s">
        <v>389</v>
      </c>
      <c r="C30" s="115">
        <f t="shared" ref="C30:C40" si="13">C15</f>
        <v>4.873742485061447</v>
      </c>
      <c r="D30" s="3">
        <v>1</v>
      </c>
      <c r="E30" s="13">
        <v>1</v>
      </c>
      <c r="F30" s="13">
        <f t="shared" si="1"/>
        <v>0.96666666666666667</v>
      </c>
      <c r="G30" s="13">
        <f t="shared" si="2"/>
        <v>0.93444444444444441</v>
      </c>
      <c r="H30" s="13">
        <f t="shared" si="3"/>
        <v>0.90329629629629626</v>
      </c>
      <c r="I30" s="13">
        <f t="shared" si="4"/>
        <v>0.87318641975308631</v>
      </c>
      <c r="J30" s="13">
        <f t="shared" si="5"/>
        <v>0.84408020576131682</v>
      </c>
      <c r="K30" s="140">
        <f t="shared" si="6"/>
        <v>0.81594419890260617</v>
      </c>
      <c r="L30" s="140">
        <f t="shared" si="7"/>
        <v>0.78874605893918592</v>
      </c>
      <c r="M30" s="140">
        <f t="shared" si="8"/>
        <v>0.76245452364121302</v>
      </c>
      <c r="N30" s="140">
        <f t="shared" si="9"/>
        <v>0.73703937285317256</v>
      </c>
      <c r="O30" s="140">
        <f t="shared" si="10"/>
        <v>0.71247139375806678</v>
      </c>
      <c r="P30" s="140">
        <f t="shared" si="11"/>
        <v>0.68872234729946458</v>
      </c>
      <c r="Q30" s="140">
        <f t="shared" si="12"/>
        <v>0.6657649357228157</v>
      </c>
    </row>
    <row r="31" spans="2:17" ht="16.5" customHeight="1" x14ac:dyDescent="0.35">
      <c r="B31" s="20" t="s">
        <v>390</v>
      </c>
      <c r="C31" s="115">
        <f t="shared" si="13"/>
        <v>4.7799667355673678</v>
      </c>
      <c r="D31" s="3">
        <v>1</v>
      </c>
      <c r="E31" s="13">
        <v>1</v>
      </c>
      <c r="F31" s="13">
        <f t="shared" si="1"/>
        <v>0.96666666666666667</v>
      </c>
      <c r="G31" s="13">
        <f t="shared" si="2"/>
        <v>0.93444444444444441</v>
      </c>
      <c r="H31" s="13">
        <f t="shared" si="3"/>
        <v>0.90329629629629626</v>
      </c>
      <c r="I31" s="13">
        <f t="shared" si="4"/>
        <v>0.87318641975308631</v>
      </c>
      <c r="J31" s="13">
        <f t="shared" si="5"/>
        <v>0.84408020576131682</v>
      </c>
      <c r="K31" s="140">
        <f t="shared" si="6"/>
        <v>0.81594419890260617</v>
      </c>
      <c r="L31" s="140">
        <f t="shared" si="7"/>
        <v>0.78874605893918592</v>
      </c>
      <c r="M31" s="140">
        <f t="shared" si="8"/>
        <v>0.76245452364121302</v>
      </c>
      <c r="N31" s="140">
        <f t="shared" si="9"/>
        <v>0.73703937285317256</v>
      </c>
      <c r="O31" s="140">
        <f t="shared" si="10"/>
        <v>0.71247139375806678</v>
      </c>
      <c r="P31" s="140">
        <f t="shared" si="11"/>
        <v>0.68872234729946458</v>
      </c>
      <c r="Q31" s="140">
        <f t="shared" si="12"/>
        <v>0.6657649357228157</v>
      </c>
    </row>
    <row r="32" spans="2:17" ht="16.5" customHeight="1" x14ac:dyDescent="0.35">
      <c r="B32" s="26" t="s">
        <v>391</v>
      </c>
      <c r="C32" s="115">
        <f t="shared" si="13"/>
        <v>4.6914686326537209</v>
      </c>
      <c r="D32" s="3">
        <v>1</v>
      </c>
      <c r="E32" s="13">
        <v>1</v>
      </c>
      <c r="F32" s="13">
        <f t="shared" si="1"/>
        <v>0.96666666666666667</v>
      </c>
      <c r="G32" s="13">
        <f t="shared" si="2"/>
        <v>0.93444444444444441</v>
      </c>
      <c r="H32" s="13">
        <f t="shared" si="3"/>
        <v>0.90329629629629626</v>
      </c>
      <c r="I32" s="13">
        <f t="shared" si="4"/>
        <v>0.87318641975308631</v>
      </c>
      <c r="J32" s="13">
        <f t="shared" si="5"/>
        <v>0.84408020576131682</v>
      </c>
      <c r="K32" s="140">
        <f t="shared" si="6"/>
        <v>0.81594419890260617</v>
      </c>
      <c r="L32" s="140">
        <f t="shared" si="7"/>
        <v>0.78874605893918592</v>
      </c>
      <c r="M32" s="140">
        <f t="shared" si="8"/>
        <v>0.76245452364121302</v>
      </c>
      <c r="N32" s="140">
        <f t="shared" si="9"/>
        <v>0.73703937285317256</v>
      </c>
      <c r="O32" s="140">
        <f t="shared" si="10"/>
        <v>0.71247139375806678</v>
      </c>
      <c r="P32" s="140">
        <f t="shared" si="11"/>
        <v>0.68872234729946458</v>
      </c>
      <c r="Q32" s="140">
        <f t="shared" si="12"/>
        <v>0.6657649357228157</v>
      </c>
    </row>
    <row r="33" spans="2:17" ht="16.5" customHeight="1" x14ac:dyDescent="0.35">
      <c r="B33" s="20" t="s">
        <v>392</v>
      </c>
      <c r="C33" s="115">
        <f t="shared" si="13"/>
        <v>4.6084680782613567</v>
      </c>
      <c r="D33" s="3">
        <v>1</v>
      </c>
      <c r="E33" s="13">
        <v>1</v>
      </c>
      <c r="F33" s="13">
        <f t="shared" si="1"/>
        <v>0.96666666666666667</v>
      </c>
      <c r="G33" s="13">
        <f t="shared" si="2"/>
        <v>0.93444444444444441</v>
      </c>
      <c r="H33" s="13">
        <f t="shared" si="3"/>
        <v>0.90329629629629626</v>
      </c>
      <c r="I33" s="13">
        <f t="shared" si="4"/>
        <v>0.87318641975308631</v>
      </c>
      <c r="J33" s="13">
        <f t="shared" si="5"/>
        <v>0.84408020576131682</v>
      </c>
      <c r="K33" s="140">
        <f t="shared" si="6"/>
        <v>0.81594419890260617</v>
      </c>
      <c r="L33" s="140">
        <f t="shared" si="7"/>
        <v>0.78874605893918592</v>
      </c>
      <c r="M33" s="140">
        <f t="shared" si="8"/>
        <v>0.76245452364121302</v>
      </c>
      <c r="N33" s="140">
        <f t="shared" si="9"/>
        <v>0.73703937285317256</v>
      </c>
      <c r="O33" s="140">
        <f t="shared" si="10"/>
        <v>0.71247139375806678</v>
      </c>
      <c r="P33" s="140">
        <f t="shared" si="11"/>
        <v>0.68872234729946458</v>
      </c>
      <c r="Q33" s="140">
        <f t="shared" si="12"/>
        <v>0.6657649357228157</v>
      </c>
    </row>
    <row r="34" spans="2:17" ht="16.5" customHeight="1" x14ac:dyDescent="0.35">
      <c r="B34" s="26" t="s">
        <v>393</v>
      </c>
      <c r="C34" s="115">
        <f t="shared" si="13"/>
        <v>4.5371397120956063</v>
      </c>
      <c r="D34" s="3">
        <v>1</v>
      </c>
      <c r="E34" s="13">
        <v>1</v>
      </c>
      <c r="F34" s="13">
        <f t="shared" si="1"/>
        <v>0.96666666666666667</v>
      </c>
      <c r="G34" s="13">
        <f t="shared" si="2"/>
        <v>0.93444444444444441</v>
      </c>
      <c r="H34" s="13">
        <f t="shared" si="3"/>
        <v>0.90329629629629626</v>
      </c>
      <c r="I34" s="13">
        <f t="shared" si="4"/>
        <v>0.87318641975308631</v>
      </c>
      <c r="J34" s="13">
        <f t="shared" si="5"/>
        <v>0.84408020576131682</v>
      </c>
      <c r="K34" s="140">
        <f t="shared" si="6"/>
        <v>0.81594419890260617</v>
      </c>
      <c r="L34" s="140">
        <f t="shared" si="7"/>
        <v>0.78874605893918592</v>
      </c>
      <c r="M34" s="140">
        <f t="shared" si="8"/>
        <v>0.76245452364121302</v>
      </c>
      <c r="N34" s="140">
        <f t="shared" si="9"/>
        <v>0.73703937285317256</v>
      </c>
      <c r="O34" s="140">
        <f t="shared" si="10"/>
        <v>0.71247139375806678</v>
      </c>
      <c r="P34" s="140">
        <f t="shared" si="11"/>
        <v>0.68872234729946458</v>
      </c>
      <c r="Q34" s="140">
        <f t="shared" si="12"/>
        <v>0.6657649357228157</v>
      </c>
    </row>
    <row r="35" spans="2:17" ht="16.5" customHeight="1" x14ac:dyDescent="0.35">
      <c r="B35" s="20" t="s">
        <v>394</v>
      </c>
      <c r="C35" s="115">
        <f t="shared" si="13"/>
        <v>4.4570556131626091</v>
      </c>
      <c r="D35" s="3">
        <v>1</v>
      </c>
      <c r="E35" s="13">
        <v>1</v>
      </c>
      <c r="F35" s="13">
        <f t="shared" si="1"/>
        <v>0.96666666666666667</v>
      </c>
      <c r="G35" s="13">
        <f t="shared" si="2"/>
        <v>0.93444444444444441</v>
      </c>
      <c r="H35" s="13">
        <f t="shared" si="3"/>
        <v>0.90329629629629626</v>
      </c>
      <c r="I35" s="13">
        <f t="shared" si="4"/>
        <v>0.87318641975308631</v>
      </c>
      <c r="J35" s="13">
        <f t="shared" si="5"/>
        <v>0.84408020576131682</v>
      </c>
      <c r="K35" s="140">
        <f t="shared" si="6"/>
        <v>0.81594419890260617</v>
      </c>
      <c r="L35" s="140">
        <f t="shared" si="7"/>
        <v>0.78874605893918592</v>
      </c>
      <c r="M35" s="140">
        <f t="shared" si="8"/>
        <v>0.76245452364121302</v>
      </c>
      <c r="N35" s="140">
        <f t="shared" si="9"/>
        <v>0.73703937285317256</v>
      </c>
      <c r="O35" s="140">
        <f t="shared" si="10"/>
        <v>0.71247139375806678</v>
      </c>
      <c r="P35" s="140">
        <f t="shared" si="11"/>
        <v>0.68872234729946458</v>
      </c>
      <c r="Q35" s="140">
        <f t="shared" si="12"/>
        <v>0.6657649357228157</v>
      </c>
    </row>
    <row r="36" spans="2:17" ht="16.5" customHeight="1" x14ac:dyDescent="0.35">
      <c r="B36" s="26" t="s">
        <v>395</v>
      </c>
      <c r="C36" s="115">
        <f t="shared" si="13"/>
        <v>4.4080597864574624</v>
      </c>
      <c r="D36" s="3">
        <v>1</v>
      </c>
      <c r="E36" s="13">
        <v>1</v>
      </c>
      <c r="F36" s="13">
        <f t="shared" si="1"/>
        <v>0.96666666666666667</v>
      </c>
      <c r="G36" s="13">
        <f t="shared" si="2"/>
        <v>0.93444444444444441</v>
      </c>
      <c r="H36" s="13">
        <f t="shared" si="3"/>
        <v>0.90329629629629626</v>
      </c>
      <c r="I36" s="13">
        <f t="shared" si="4"/>
        <v>0.87318641975308631</v>
      </c>
      <c r="J36" s="13">
        <f t="shared" si="5"/>
        <v>0.84408020576131682</v>
      </c>
      <c r="K36" s="140">
        <f t="shared" si="6"/>
        <v>0.81594419890260617</v>
      </c>
      <c r="L36" s="140">
        <f t="shared" si="7"/>
        <v>0.78874605893918592</v>
      </c>
      <c r="M36" s="140">
        <f t="shared" si="8"/>
        <v>0.76245452364121302</v>
      </c>
      <c r="N36" s="140">
        <f t="shared" si="9"/>
        <v>0.73703937285317256</v>
      </c>
      <c r="O36" s="140">
        <f t="shared" si="10"/>
        <v>0.71247139375806678</v>
      </c>
      <c r="P36" s="140">
        <f t="shared" si="11"/>
        <v>0.68872234729946458</v>
      </c>
      <c r="Q36" s="140">
        <f t="shared" si="12"/>
        <v>0.6657649357228157</v>
      </c>
    </row>
    <row r="37" spans="2:17" ht="16.5" customHeight="1" x14ac:dyDescent="0.35">
      <c r="B37" s="20" t="s">
        <v>396</v>
      </c>
      <c r="C37" s="115">
        <f t="shared" si="13"/>
        <v>4.3570224669729338</v>
      </c>
      <c r="D37" s="3">
        <v>1</v>
      </c>
      <c r="E37" s="13">
        <v>1</v>
      </c>
      <c r="F37" s="13">
        <f t="shared" si="1"/>
        <v>0.96666666666666667</v>
      </c>
      <c r="G37" s="13">
        <f t="shared" si="2"/>
        <v>0.93444444444444441</v>
      </c>
      <c r="H37" s="13">
        <f t="shared" si="3"/>
        <v>0.90329629629629626</v>
      </c>
      <c r="I37" s="13">
        <f t="shared" si="4"/>
        <v>0.87318641975308631</v>
      </c>
      <c r="J37" s="13">
        <f t="shared" si="5"/>
        <v>0.84408020576131682</v>
      </c>
      <c r="K37" s="140">
        <f t="shared" si="6"/>
        <v>0.81594419890260617</v>
      </c>
      <c r="L37" s="140">
        <f t="shared" si="7"/>
        <v>0.78874605893918592</v>
      </c>
      <c r="M37" s="140">
        <f t="shared" si="8"/>
        <v>0.76245452364121302</v>
      </c>
      <c r="N37" s="140">
        <f t="shared" si="9"/>
        <v>0.73703937285317256</v>
      </c>
      <c r="O37" s="140">
        <f t="shared" si="10"/>
        <v>0.71247139375806678</v>
      </c>
      <c r="P37" s="140">
        <f t="shared" si="11"/>
        <v>0.68872234729946458</v>
      </c>
      <c r="Q37" s="140">
        <f t="shared" si="12"/>
        <v>0.6657649357228157</v>
      </c>
    </row>
    <row r="38" spans="2:17" ht="16.5" customHeight="1" x14ac:dyDescent="0.35">
      <c r="B38" s="26" t="s">
        <v>397</v>
      </c>
      <c r="C38" s="115">
        <f t="shared" si="13"/>
        <v>4.317369440023306</v>
      </c>
      <c r="D38" s="3">
        <v>1</v>
      </c>
      <c r="E38" s="13">
        <v>1</v>
      </c>
      <c r="F38" s="13">
        <f t="shared" si="1"/>
        <v>0.96666666666666667</v>
      </c>
      <c r="G38" s="13">
        <f t="shared" si="2"/>
        <v>0.93444444444444441</v>
      </c>
      <c r="H38" s="13">
        <f t="shared" si="3"/>
        <v>0.90329629629629626</v>
      </c>
      <c r="I38" s="13">
        <f t="shared" si="4"/>
        <v>0.87318641975308631</v>
      </c>
      <c r="J38" s="13">
        <f t="shared" si="5"/>
        <v>0.84408020576131682</v>
      </c>
      <c r="K38" s="140">
        <f t="shared" si="6"/>
        <v>0.81594419890260617</v>
      </c>
      <c r="L38" s="140">
        <f t="shared" si="7"/>
        <v>0.78874605893918592</v>
      </c>
      <c r="M38" s="140">
        <f t="shared" si="8"/>
        <v>0.76245452364121302</v>
      </c>
      <c r="N38" s="140">
        <f t="shared" si="9"/>
        <v>0.73703937285317256</v>
      </c>
      <c r="O38" s="140">
        <f t="shared" si="10"/>
        <v>0.71247139375806678</v>
      </c>
      <c r="P38" s="140">
        <f t="shared" si="11"/>
        <v>0.68872234729946458</v>
      </c>
      <c r="Q38" s="140">
        <f t="shared" si="12"/>
        <v>0.6657649357228157</v>
      </c>
    </row>
    <row r="39" spans="2:17" ht="16.5" customHeight="1" x14ac:dyDescent="0.35">
      <c r="B39" s="20" t="s">
        <v>398</v>
      </c>
      <c r="C39" s="115">
        <f t="shared" si="13"/>
        <v>4.2643349109234947</v>
      </c>
      <c r="D39" s="3">
        <v>1</v>
      </c>
      <c r="E39" s="13">
        <v>1</v>
      </c>
      <c r="F39" s="13">
        <f t="shared" si="1"/>
        <v>0.96666666666666667</v>
      </c>
      <c r="G39" s="13">
        <f t="shared" si="2"/>
        <v>0.93444444444444441</v>
      </c>
      <c r="H39" s="13">
        <f t="shared" si="3"/>
        <v>0.90329629629629626</v>
      </c>
      <c r="I39" s="13">
        <f t="shared" si="4"/>
        <v>0.87318641975308631</v>
      </c>
      <c r="J39" s="13">
        <f t="shared" si="5"/>
        <v>0.84408020576131682</v>
      </c>
      <c r="K39" s="140">
        <f t="shared" si="6"/>
        <v>0.81594419890260617</v>
      </c>
      <c r="L39" s="140">
        <f t="shared" si="7"/>
        <v>0.78874605893918592</v>
      </c>
      <c r="M39" s="140">
        <f t="shared" si="8"/>
        <v>0.76245452364121302</v>
      </c>
      <c r="N39" s="140">
        <f t="shared" si="9"/>
        <v>0.73703937285317256</v>
      </c>
      <c r="O39" s="140">
        <f t="shared" si="10"/>
        <v>0.71247139375806678</v>
      </c>
      <c r="P39" s="140">
        <f t="shared" si="11"/>
        <v>0.68872234729946458</v>
      </c>
      <c r="Q39" s="140">
        <f t="shared" si="12"/>
        <v>0.6657649357228157</v>
      </c>
    </row>
    <row r="40" spans="2:17" ht="16.5" customHeight="1" x14ac:dyDescent="0.35">
      <c r="B40" s="26" t="s">
        <v>399</v>
      </c>
      <c r="C40" s="115">
        <f t="shared" si="13"/>
        <v>4.2016871951213135</v>
      </c>
      <c r="D40" s="3">
        <v>1</v>
      </c>
      <c r="E40" s="13">
        <v>1</v>
      </c>
      <c r="F40" s="13">
        <f t="shared" si="1"/>
        <v>0.96666666666666667</v>
      </c>
      <c r="G40" s="13">
        <f t="shared" si="2"/>
        <v>0.93444444444444441</v>
      </c>
      <c r="H40" s="13">
        <f t="shared" si="3"/>
        <v>0.90329629629629626</v>
      </c>
      <c r="I40" s="13">
        <f t="shared" si="4"/>
        <v>0.87318641975308631</v>
      </c>
      <c r="J40" s="13">
        <f t="shared" si="5"/>
        <v>0.84408020576131682</v>
      </c>
      <c r="K40" s="140">
        <f t="shared" si="6"/>
        <v>0.81594419890260617</v>
      </c>
      <c r="L40" s="140">
        <f t="shared" si="7"/>
        <v>0.78874605893918592</v>
      </c>
      <c r="M40" s="140">
        <f t="shared" si="8"/>
        <v>0.76245452364121302</v>
      </c>
      <c r="N40" s="140">
        <f t="shared" si="9"/>
        <v>0.73703937285317256</v>
      </c>
      <c r="O40" s="140">
        <f t="shared" si="10"/>
        <v>0.71247139375806678</v>
      </c>
      <c r="P40" s="140">
        <f t="shared" si="11"/>
        <v>0.68872234729946458</v>
      </c>
      <c r="Q40" s="140">
        <f t="shared" si="12"/>
        <v>0.6657649357228157</v>
      </c>
    </row>
    <row r="41" spans="2:17" ht="7.5" customHeight="1" x14ac:dyDescent="0.35"/>
    <row r="42" spans="2:17" ht="15.75" customHeight="1" x14ac:dyDescent="0.35">
      <c r="B42" s="219" t="s">
        <v>404</v>
      </c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</row>
    <row r="43" spans="2:17" ht="16.5" customHeight="1" x14ac:dyDescent="0.35">
      <c r="B43" s="123" t="s">
        <v>405</v>
      </c>
      <c r="C43" s="123" t="s">
        <v>402</v>
      </c>
      <c r="D43" s="123" t="s">
        <v>445</v>
      </c>
      <c r="E43" s="83" t="s">
        <v>406</v>
      </c>
      <c r="F43" s="83" t="s">
        <v>454</v>
      </c>
      <c r="G43" s="83" t="s">
        <v>455</v>
      </c>
      <c r="H43" s="83" t="s">
        <v>456</v>
      </c>
      <c r="I43" s="83" t="s">
        <v>457</v>
      </c>
      <c r="J43" s="83" t="s">
        <v>458</v>
      </c>
      <c r="K43" s="83" t="s">
        <v>459</v>
      </c>
      <c r="L43" s="83" t="s">
        <v>460</v>
      </c>
      <c r="M43" s="83" t="s">
        <v>461</v>
      </c>
      <c r="N43" s="83" t="s">
        <v>462</v>
      </c>
      <c r="O43" s="83" t="s">
        <v>472</v>
      </c>
      <c r="P43" s="83" t="s">
        <v>473</v>
      </c>
      <c r="Q43" s="83" t="s">
        <v>474</v>
      </c>
    </row>
    <row r="44" spans="2:17" ht="16.5" customHeight="1" x14ac:dyDescent="0.35">
      <c r="B44" s="20" t="s">
        <v>388</v>
      </c>
      <c r="C44" s="115">
        <f>C14</f>
        <v>4.9983702191321742</v>
      </c>
      <c r="D44" s="156">
        <f t="shared" ref="D44:D55" si="14">SUM(E44,F44,G44,H44,I44,J44,K44,L44,M44,N44,O44,P44)</f>
        <v>464.45742644400008</v>
      </c>
      <c r="E44" s="184">
        <f>$C14*E29*$C$5</f>
        <v>46.320436930461376</v>
      </c>
      <c r="F44" s="184">
        <f t="shared" ref="F44:Q44" si="15">$C14*F29*$C$5</f>
        <v>44.776422366112662</v>
      </c>
      <c r="G44" s="184">
        <f t="shared" si="15"/>
        <v>43.283874953908906</v>
      </c>
      <c r="H44" s="184">
        <f t="shared" si="15"/>
        <v>41.841079122111942</v>
      </c>
      <c r="I44" s="184">
        <f t="shared" si="15"/>
        <v>40.446376484708203</v>
      </c>
      <c r="J44" s="184">
        <f t="shared" si="15"/>
        <v>39.09816393521794</v>
      </c>
      <c r="K44" s="184">
        <f t="shared" si="15"/>
        <v>37.794891804043999</v>
      </c>
      <c r="L44" s="184">
        <f t="shared" si="15"/>
        <v>36.535062077242529</v>
      </c>
      <c r="M44" s="184">
        <f t="shared" si="15"/>
        <v>35.317226674667779</v>
      </c>
      <c r="N44" s="184">
        <f t="shared" si="15"/>
        <v>34.139985785512181</v>
      </c>
      <c r="O44" s="184">
        <f t="shared" si="15"/>
        <v>33.00198625932844</v>
      </c>
      <c r="P44" s="184">
        <f t="shared" si="15"/>
        <v>31.901920050684165</v>
      </c>
      <c r="Q44" s="184">
        <f t="shared" si="15"/>
        <v>30.838522715661359</v>
      </c>
    </row>
    <row r="45" spans="2:17" ht="16.5" customHeight="1" x14ac:dyDescent="0.35">
      <c r="B45" s="26" t="s">
        <v>389</v>
      </c>
      <c r="C45" s="115">
        <f t="shared" ref="C45:C55" si="16">C15</f>
        <v>4.873742485061447</v>
      </c>
      <c r="D45" s="156">
        <f t="shared" si="14"/>
        <v>452.87679634011658</v>
      </c>
      <c r="E45" s="184">
        <f t="shared" ref="E45:Q45" si="17">$C15*E30*$C$5</f>
        <v>45.165498251907124</v>
      </c>
      <c r="F45" s="184">
        <f t="shared" si="17"/>
        <v>43.659981643510228</v>
      </c>
      <c r="G45" s="184">
        <f t="shared" si="17"/>
        <v>42.204648922059881</v>
      </c>
      <c r="H45" s="184">
        <f t="shared" si="17"/>
        <v>40.797827291324552</v>
      </c>
      <c r="I45" s="184">
        <f t="shared" si="17"/>
        <v>39.437899714947065</v>
      </c>
      <c r="J45" s="184">
        <f t="shared" si="17"/>
        <v>38.123303057782159</v>
      </c>
      <c r="K45" s="184">
        <f t="shared" si="17"/>
        <v>36.85252628918942</v>
      </c>
      <c r="L45" s="184">
        <f t="shared" si="17"/>
        <v>35.624108746216436</v>
      </c>
      <c r="M45" s="184">
        <f t="shared" si="17"/>
        <v>34.436638454675887</v>
      </c>
      <c r="N45" s="184">
        <f t="shared" si="17"/>
        <v>33.288750506186688</v>
      </c>
      <c r="O45" s="184">
        <f t="shared" si="17"/>
        <v>32.179125489313797</v>
      </c>
      <c r="P45" s="184">
        <f t="shared" si="17"/>
        <v>31.10648797300334</v>
      </c>
      <c r="Q45" s="184">
        <f t="shared" si="17"/>
        <v>30.069605040569893</v>
      </c>
    </row>
    <row r="46" spans="2:17" ht="16.5" customHeight="1" x14ac:dyDescent="0.35">
      <c r="B46" s="20" t="s">
        <v>390</v>
      </c>
      <c r="C46" s="115">
        <f t="shared" si="16"/>
        <v>4.7799667355673678</v>
      </c>
      <c r="D46" s="156">
        <f t="shared" si="14"/>
        <v>444.16298736571065</v>
      </c>
      <c r="E46" s="184">
        <f t="shared" ref="E46:Q46" si="18">$C16*E31*$C$5</f>
        <v>44.296468248202956</v>
      </c>
      <c r="F46" s="184">
        <f t="shared" si="18"/>
        <v>42.819919306596198</v>
      </c>
      <c r="G46" s="184">
        <f t="shared" si="18"/>
        <v>41.392588663042986</v>
      </c>
      <c r="H46" s="184">
        <f t="shared" si="18"/>
        <v>40.012835707608218</v>
      </c>
      <c r="I46" s="184">
        <f t="shared" si="18"/>
        <v>38.679074517354607</v>
      </c>
      <c r="J46" s="184">
        <f t="shared" si="18"/>
        <v>37.389772033442789</v>
      </c>
      <c r="K46" s="184">
        <f t="shared" si="18"/>
        <v>36.143446298994689</v>
      </c>
      <c r="L46" s="184">
        <f t="shared" si="18"/>
        <v>34.938664755694866</v>
      </c>
      <c r="M46" s="184">
        <f t="shared" si="18"/>
        <v>33.7740425971717</v>
      </c>
      <c r="N46" s="184">
        <f t="shared" si="18"/>
        <v>32.64824117726598</v>
      </c>
      <c r="O46" s="184">
        <f t="shared" si="18"/>
        <v>31.559966471357111</v>
      </c>
      <c r="P46" s="184">
        <f t="shared" si="18"/>
        <v>30.507967588978545</v>
      </c>
      <c r="Q46" s="184">
        <f t="shared" si="18"/>
        <v>29.491035336012587</v>
      </c>
    </row>
    <row r="47" spans="2:17" ht="16.5" customHeight="1" x14ac:dyDescent="0.35">
      <c r="B47" s="26" t="s">
        <v>391</v>
      </c>
      <c r="C47" s="115">
        <f t="shared" si="16"/>
        <v>4.6914686326537209</v>
      </c>
      <c r="D47" s="156">
        <f t="shared" si="14"/>
        <v>435.93958667259727</v>
      </c>
      <c r="E47" s="184">
        <f t="shared" ref="E47:Q47" si="19">$C17*E32*$C$5</f>
        <v>43.476346765647236</v>
      </c>
      <c r="F47" s="184">
        <f t="shared" si="19"/>
        <v>42.027135206792323</v>
      </c>
      <c r="G47" s="184">
        <f t="shared" si="19"/>
        <v>40.626230699899246</v>
      </c>
      <c r="H47" s="184">
        <f t="shared" si="19"/>
        <v>39.272023009902604</v>
      </c>
      <c r="I47" s="184">
        <f t="shared" si="19"/>
        <v>37.962955576239182</v>
      </c>
      <c r="J47" s="184">
        <f t="shared" si="19"/>
        <v>36.697523723697877</v>
      </c>
      <c r="K47" s="184">
        <f t="shared" si="19"/>
        <v>35.474272932907944</v>
      </c>
      <c r="L47" s="184">
        <f t="shared" si="19"/>
        <v>34.291797168477679</v>
      </c>
      <c r="M47" s="184">
        <f t="shared" si="19"/>
        <v>33.148737262861758</v>
      </c>
      <c r="N47" s="184">
        <f t="shared" si="19"/>
        <v>32.043779354099691</v>
      </c>
      <c r="O47" s="184">
        <f t="shared" si="19"/>
        <v>30.975653375629705</v>
      </c>
      <c r="P47" s="184">
        <f t="shared" si="19"/>
        <v>29.943131596442047</v>
      </c>
      <c r="Q47" s="184">
        <f t="shared" si="19"/>
        <v>28.945027209893976</v>
      </c>
    </row>
    <row r="48" spans="2:17" ht="16.5" customHeight="1" x14ac:dyDescent="0.35">
      <c r="B48" s="20" t="s">
        <v>392</v>
      </c>
      <c r="C48" s="115">
        <f t="shared" si="16"/>
        <v>4.6084680782613567</v>
      </c>
      <c r="D48" s="156">
        <f t="shared" si="14"/>
        <v>428.22702793916358</v>
      </c>
      <c r="E48" s="184">
        <f t="shared" ref="E48:Q48" si="20">$C18*E33*$C$5</f>
        <v>42.707171659287795</v>
      </c>
      <c r="F48" s="184">
        <f t="shared" si="20"/>
        <v>41.283599270644871</v>
      </c>
      <c r="G48" s="184">
        <f t="shared" si="20"/>
        <v>39.907479294956701</v>
      </c>
      <c r="H48" s="184">
        <f t="shared" si="20"/>
        <v>38.577229985124809</v>
      </c>
      <c r="I48" s="184">
        <f t="shared" si="20"/>
        <v>37.291322318953981</v>
      </c>
      <c r="J48" s="184">
        <f t="shared" si="20"/>
        <v>36.048278241655524</v>
      </c>
      <c r="K48" s="184">
        <f t="shared" si="20"/>
        <v>34.84666896693367</v>
      </c>
      <c r="L48" s="184">
        <f t="shared" si="20"/>
        <v>33.685113334702542</v>
      </c>
      <c r="M48" s="184">
        <f t="shared" si="20"/>
        <v>32.562276223545787</v>
      </c>
      <c r="N48" s="184">
        <f t="shared" si="20"/>
        <v>31.476867016094261</v>
      </c>
      <c r="O48" s="184">
        <f t="shared" si="20"/>
        <v>30.427638115557784</v>
      </c>
      <c r="P48" s="184">
        <f t="shared" si="20"/>
        <v>29.41338351170586</v>
      </c>
      <c r="Q48" s="184">
        <f t="shared" si="20"/>
        <v>28.432937394648995</v>
      </c>
    </row>
    <row r="49" spans="2:17" ht="16.5" customHeight="1" x14ac:dyDescent="0.35">
      <c r="B49" s="26" t="s">
        <v>393</v>
      </c>
      <c r="C49" s="115">
        <f t="shared" si="16"/>
        <v>4.5371397120956063</v>
      </c>
      <c r="D49" s="156">
        <f t="shared" si="14"/>
        <v>421.59906963887755</v>
      </c>
      <c r="E49" s="184">
        <f t="shared" ref="E49:Q49" si="21">$C19*E34*$C$5</f>
        <v>42.046163982488068</v>
      </c>
      <c r="F49" s="184">
        <f t="shared" si="21"/>
        <v>40.644625183071796</v>
      </c>
      <c r="G49" s="184">
        <f t="shared" si="21"/>
        <v>39.289804343636071</v>
      </c>
      <c r="H49" s="184">
        <f t="shared" si="21"/>
        <v>37.980144198848201</v>
      </c>
      <c r="I49" s="184">
        <f t="shared" si="21"/>
        <v>36.714139392219927</v>
      </c>
      <c r="J49" s="184">
        <f t="shared" si="21"/>
        <v>35.490334745812596</v>
      </c>
      <c r="K49" s="184">
        <f t="shared" si="21"/>
        <v>34.307323587618839</v>
      </c>
      <c r="L49" s="184">
        <f t="shared" si="21"/>
        <v>33.163746134698208</v>
      </c>
      <c r="M49" s="184">
        <f t="shared" si="21"/>
        <v>32.058287930208266</v>
      </c>
      <c r="N49" s="184">
        <f t="shared" si="21"/>
        <v>30.989678332534659</v>
      </c>
      <c r="O49" s="184">
        <f t="shared" si="21"/>
        <v>29.956689054783503</v>
      </c>
      <c r="P49" s="184">
        <f t="shared" si="21"/>
        <v>28.958132752957386</v>
      </c>
      <c r="Q49" s="184">
        <f t="shared" si="21"/>
        <v>27.992861661192137</v>
      </c>
    </row>
    <row r="50" spans="2:17" ht="16.5" customHeight="1" x14ac:dyDescent="0.35">
      <c r="B50" s="20" t="s">
        <v>394</v>
      </c>
      <c r="C50" s="115">
        <f t="shared" si="16"/>
        <v>4.4570556131626091</v>
      </c>
      <c r="D50" s="156">
        <f t="shared" si="14"/>
        <v>414.15751311968791</v>
      </c>
      <c r="E50" s="184">
        <f t="shared" ref="E50:Q50" si="22">$C20*E35*$C$5</f>
        <v>41.304015984014519</v>
      </c>
      <c r="F50" s="184">
        <f t="shared" si="22"/>
        <v>39.927215451214039</v>
      </c>
      <c r="G50" s="184">
        <f t="shared" si="22"/>
        <v>38.596308269506899</v>
      </c>
      <c r="H50" s="184">
        <f t="shared" si="22"/>
        <v>37.309764660523335</v>
      </c>
      <c r="I50" s="184">
        <f t="shared" si="22"/>
        <v>36.066105838505891</v>
      </c>
      <c r="J50" s="184">
        <f t="shared" si="22"/>
        <v>34.863902310555694</v>
      </c>
      <c r="K50" s="184">
        <f t="shared" si="22"/>
        <v>33.70177223353717</v>
      </c>
      <c r="L50" s="184">
        <f t="shared" si="22"/>
        <v>32.578379825752592</v>
      </c>
      <c r="M50" s="184">
        <f t="shared" si="22"/>
        <v>31.492433831560838</v>
      </c>
      <c r="N50" s="184">
        <f t="shared" si="22"/>
        <v>30.442686037175481</v>
      </c>
      <c r="O50" s="184">
        <f t="shared" si="22"/>
        <v>29.427929835936297</v>
      </c>
      <c r="P50" s="184">
        <f t="shared" si="22"/>
        <v>28.446998841405087</v>
      </c>
      <c r="Q50" s="184">
        <f t="shared" si="22"/>
        <v>27.49876554669158</v>
      </c>
    </row>
    <row r="51" spans="2:17" ht="16.5" customHeight="1" x14ac:dyDescent="0.35">
      <c r="B51" s="26" t="s">
        <v>395</v>
      </c>
      <c r="C51" s="115">
        <f t="shared" si="16"/>
        <v>4.4080597864574624</v>
      </c>
      <c r="D51" s="156">
        <f t="shared" si="14"/>
        <v>409.60473399763242</v>
      </c>
      <c r="E51" s="184">
        <f t="shared" ref="E51:Q51" si="23">$C21*E36*$C$5</f>
        <v>40.849966363587328</v>
      </c>
      <c r="F51" s="184">
        <f t="shared" si="23"/>
        <v>39.48830081813442</v>
      </c>
      <c r="G51" s="184">
        <f t="shared" si="23"/>
        <v>38.172024124196604</v>
      </c>
      <c r="H51" s="184">
        <f t="shared" si="23"/>
        <v>36.899623320056712</v>
      </c>
      <c r="I51" s="184">
        <f t="shared" si="23"/>
        <v>35.669635876054819</v>
      </c>
      <c r="J51" s="184">
        <f t="shared" si="23"/>
        <v>34.480648013519662</v>
      </c>
      <c r="K51" s="184">
        <f t="shared" si="23"/>
        <v>33.331293079735666</v>
      </c>
      <c r="L51" s="184">
        <f t="shared" si="23"/>
        <v>32.220249977077813</v>
      </c>
      <c r="M51" s="184">
        <f t="shared" si="23"/>
        <v>31.146241644508549</v>
      </c>
      <c r="N51" s="184">
        <f t="shared" si="23"/>
        <v>30.108033589691598</v>
      </c>
      <c r="O51" s="184">
        <f t="shared" si="23"/>
        <v>29.10443247003521</v>
      </c>
      <c r="P51" s="184">
        <f t="shared" si="23"/>
        <v>28.134284721034035</v>
      </c>
      <c r="Q51" s="184">
        <f t="shared" si="23"/>
        <v>27.196475230332901</v>
      </c>
    </row>
    <row r="52" spans="2:17" ht="16.5" customHeight="1" x14ac:dyDescent="0.35">
      <c r="B52" s="20" t="s">
        <v>396</v>
      </c>
      <c r="C52" s="115">
        <f t="shared" si="16"/>
        <v>4.3570224669729338</v>
      </c>
      <c r="D52" s="156">
        <f t="shared" si="14"/>
        <v>404.86225574549127</v>
      </c>
      <c r="E52" s="184">
        <f t="shared" ref="E52:Q52" si="24">$C22*E37*$C$5</f>
        <v>40.376998008975654</v>
      </c>
      <c r="F52" s="184">
        <f t="shared" si="24"/>
        <v>39.031098075343138</v>
      </c>
      <c r="G52" s="184">
        <f t="shared" si="24"/>
        <v>37.730061472831693</v>
      </c>
      <c r="H52" s="184">
        <f t="shared" si="24"/>
        <v>36.472392757070637</v>
      </c>
      <c r="I52" s="184">
        <f t="shared" si="24"/>
        <v>35.256646331834951</v>
      </c>
      <c r="J52" s="184">
        <f t="shared" si="24"/>
        <v>34.081424787440454</v>
      </c>
      <c r="K52" s="184">
        <f t="shared" si="24"/>
        <v>32.94537729452577</v>
      </c>
      <c r="L52" s="184">
        <f t="shared" si="24"/>
        <v>31.847198051374907</v>
      </c>
      <c r="M52" s="184">
        <f t="shared" si="24"/>
        <v>30.785624782995743</v>
      </c>
      <c r="N52" s="184">
        <f t="shared" si="24"/>
        <v>29.759437290229215</v>
      </c>
      <c r="O52" s="184">
        <f t="shared" si="24"/>
        <v>28.767456047221575</v>
      </c>
      <c r="P52" s="184">
        <f t="shared" si="24"/>
        <v>27.808540845647524</v>
      </c>
      <c r="Q52" s="184">
        <f t="shared" si="24"/>
        <v>26.881589484125936</v>
      </c>
    </row>
    <row r="53" spans="2:17" ht="16.5" customHeight="1" x14ac:dyDescent="0.35">
      <c r="B53" s="26" t="s">
        <v>397</v>
      </c>
      <c r="C53" s="115">
        <f t="shared" si="16"/>
        <v>4.317369440023306</v>
      </c>
      <c r="D53" s="156">
        <f t="shared" si="14"/>
        <v>401.17762614817889</v>
      </c>
      <c r="E53" s="184">
        <f t="shared" ref="E53:Q53" si="25">$C23*E38*$C$5</f>
        <v>40.0095291234394</v>
      </c>
      <c r="F53" s="184">
        <f t="shared" si="25"/>
        <v>38.675878152658086</v>
      </c>
      <c r="G53" s="184">
        <f t="shared" si="25"/>
        <v>37.386682214236153</v>
      </c>
      <c r="H53" s="184">
        <f t="shared" si="25"/>
        <v>36.140459473761609</v>
      </c>
      <c r="I53" s="184">
        <f t="shared" si="25"/>
        <v>34.935777491302886</v>
      </c>
      <c r="J53" s="184">
        <f t="shared" si="25"/>
        <v>33.771251574926126</v>
      </c>
      <c r="K53" s="184">
        <f t="shared" si="25"/>
        <v>32.64554318909525</v>
      </c>
      <c r="L53" s="184">
        <f t="shared" si="25"/>
        <v>31.557358416125407</v>
      </c>
      <c r="M53" s="184">
        <f t="shared" si="25"/>
        <v>30.505446468921225</v>
      </c>
      <c r="N53" s="184">
        <f t="shared" si="25"/>
        <v>29.488598253290519</v>
      </c>
      <c r="O53" s="184">
        <f t="shared" si="25"/>
        <v>28.505644978180833</v>
      </c>
      <c r="P53" s="184">
        <f t="shared" si="25"/>
        <v>27.555456812241474</v>
      </c>
      <c r="Q53" s="184">
        <f t="shared" si="25"/>
        <v>26.636941585166753</v>
      </c>
    </row>
    <row r="54" spans="2:17" ht="16.5" customHeight="1" x14ac:dyDescent="0.35">
      <c r="B54" s="20" t="s">
        <v>398</v>
      </c>
      <c r="C54" s="115">
        <f t="shared" si="16"/>
        <v>4.2643349109234947</v>
      </c>
      <c r="D54" s="156">
        <f t="shared" si="14"/>
        <v>396.2495636361059</v>
      </c>
      <c r="E54" s="184">
        <f t="shared" ref="E54:Q54" si="26">$C24*E39*$C$5</f>
        <v>39.518052411510077</v>
      </c>
      <c r="F54" s="184">
        <f t="shared" si="26"/>
        <v>38.200783997793074</v>
      </c>
      <c r="G54" s="184">
        <f t="shared" si="26"/>
        <v>36.927424531199968</v>
      </c>
      <c r="H54" s="184">
        <f t="shared" si="26"/>
        <v>35.696510380159971</v>
      </c>
      <c r="I54" s="184">
        <f t="shared" si="26"/>
        <v>34.5066267008213</v>
      </c>
      <c r="J54" s="184">
        <f t="shared" si="26"/>
        <v>33.35640581079393</v>
      </c>
      <c r="K54" s="184">
        <f t="shared" si="26"/>
        <v>32.244525617100791</v>
      </c>
      <c r="L54" s="184">
        <f t="shared" si="26"/>
        <v>31.169708096530766</v>
      </c>
      <c r="M54" s="184">
        <f t="shared" si="26"/>
        <v>30.130717826646404</v>
      </c>
      <c r="N54" s="184">
        <f t="shared" si="26"/>
        <v>29.126360565758191</v>
      </c>
      <c r="O54" s="184">
        <f t="shared" si="26"/>
        <v>28.155481880232919</v>
      </c>
      <c r="P54" s="184">
        <f t="shared" si="26"/>
        <v>27.216965817558489</v>
      </c>
      <c r="Q54" s="184">
        <f t="shared" si="26"/>
        <v>26.309733623639868</v>
      </c>
    </row>
    <row r="55" spans="2:17" ht="16.5" customHeight="1" x14ac:dyDescent="0.35">
      <c r="B55" s="26" t="s">
        <v>399</v>
      </c>
      <c r="C55" s="115">
        <f t="shared" si="16"/>
        <v>4.2016871951213135</v>
      </c>
      <c r="D55" s="156">
        <f t="shared" si="14"/>
        <v>390.428226764599</v>
      </c>
      <c r="E55" s="184">
        <f t="shared" ref="E55:Q55" si="27">$C25*E40*$C$5</f>
        <v>38.937489259636095</v>
      </c>
      <c r="F55" s="184">
        <f t="shared" si="27"/>
        <v>37.63957295098156</v>
      </c>
      <c r="G55" s="184">
        <f t="shared" si="27"/>
        <v>36.384920519282176</v>
      </c>
      <c r="H55" s="184">
        <f t="shared" si="27"/>
        <v>35.172089835306103</v>
      </c>
      <c r="I55" s="184">
        <f t="shared" si="27"/>
        <v>33.999686840795896</v>
      </c>
      <c r="J55" s="184">
        <f t="shared" si="27"/>
        <v>32.866363946102702</v>
      </c>
      <c r="K55" s="184">
        <f t="shared" si="27"/>
        <v>31.770818481232606</v>
      </c>
      <c r="L55" s="184">
        <f t="shared" si="27"/>
        <v>30.711791198524853</v>
      </c>
      <c r="M55" s="184">
        <f t="shared" si="27"/>
        <v>29.688064825240687</v>
      </c>
      <c r="N55" s="184">
        <f t="shared" si="27"/>
        <v>28.698462664399333</v>
      </c>
      <c r="O55" s="184">
        <f t="shared" si="27"/>
        <v>27.741847242252685</v>
      </c>
      <c r="P55" s="184">
        <f t="shared" si="27"/>
        <v>26.817119000844265</v>
      </c>
      <c r="Q55" s="184">
        <f t="shared" si="27"/>
        <v>25.923215034149454</v>
      </c>
    </row>
    <row r="56" spans="2:17" ht="7.5" customHeight="1" x14ac:dyDescent="0.35"/>
    <row r="57" spans="2:17" ht="15.75" customHeight="1" x14ac:dyDescent="0.35">
      <c r="B57" s="223" t="s">
        <v>407</v>
      </c>
      <c r="C57" s="224"/>
      <c r="D57" s="225"/>
    </row>
    <row r="58" spans="2:17" ht="15.75" customHeight="1" x14ac:dyDescent="0.35">
      <c r="B58" s="44" t="s">
        <v>350</v>
      </c>
      <c r="C58" s="45" t="s">
        <v>376</v>
      </c>
      <c r="D58" s="45" t="s">
        <v>172</v>
      </c>
    </row>
    <row r="59" spans="2:17" ht="18" customHeight="1" x14ac:dyDescent="0.35">
      <c r="B59" s="223" t="s">
        <v>408</v>
      </c>
      <c r="C59" s="224"/>
      <c r="D59" s="225"/>
    </row>
    <row r="60" spans="2:17" ht="16.5" customHeight="1" x14ac:dyDescent="0.35">
      <c r="B60" s="20" t="s">
        <v>447</v>
      </c>
      <c r="C60" s="157">
        <f>C8</f>
        <v>410.86793728447952</v>
      </c>
      <c r="D60" s="139" t="s">
        <v>409</v>
      </c>
    </row>
    <row r="61" spans="2:17" ht="16.5" customHeight="1" x14ac:dyDescent="0.35">
      <c r="B61" s="20" t="s">
        <v>410</v>
      </c>
      <c r="C61" s="141">
        <f>AVERAGE(C14:C25)</f>
        <v>4.5412237729527325</v>
      </c>
      <c r="D61" s="139" t="s">
        <v>411</v>
      </c>
    </row>
    <row r="62" spans="2:17" ht="16.5" customHeight="1" x14ac:dyDescent="0.35">
      <c r="B62" s="6" t="s">
        <v>412</v>
      </c>
      <c r="C62" s="7">
        <f>IFERROR(C60/C61,0)</f>
        <v>90.475157760686741</v>
      </c>
      <c r="D62" s="139" t="s">
        <v>413</v>
      </c>
    </row>
    <row r="63" spans="2:17" ht="18" customHeight="1" x14ac:dyDescent="0.35">
      <c r="B63" s="223" t="s">
        <v>414</v>
      </c>
      <c r="C63" s="224"/>
      <c r="D63" s="225"/>
    </row>
    <row r="64" spans="2:17" ht="16.5" customHeight="1" x14ac:dyDescent="0.35">
      <c r="B64" s="20" t="s">
        <v>448</v>
      </c>
      <c r="C64" s="157">
        <f>C5</f>
        <v>9.2671080571746067</v>
      </c>
      <c r="D64" s="139" t="s">
        <v>415</v>
      </c>
    </row>
    <row r="65" spans="2:4" ht="16.5" customHeight="1" x14ac:dyDescent="0.35">
      <c r="B65" s="20" t="s">
        <v>47</v>
      </c>
      <c r="C65" s="8">
        <f>C6</f>
        <v>0.66999999999999993</v>
      </c>
      <c r="D65" s="139" t="s">
        <v>409</v>
      </c>
    </row>
    <row r="66" spans="2:4" ht="16.5" customHeight="1" x14ac:dyDescent="0.35">
      <c r="B66" s="20" t="s">
        <v>416</v>
      </c>
      <c r="C66" s="8">
        <f>C7</f>
        <v>3.3333333333333326E-2</v>
      </c>
      <c r="D66" s="139" t="s">
        <v>409</v>
      </c>
    </row>
    <row r="67" spans="2:4" ht="16.5" customHeight="1" x14ac:dyDescent="0.35">
      <c r="B67" s="20" t="s">
        <v>417</v>
      </c>
      <c r="C67" s="141">
        <f>IFERROR(1/C7,0)</f>
        <v>30.000000000000007</v>
      </c>
      <c r="D67" s="139" t="s">
        <v>418</v>
      </c>
    </row>
    <row r="68" spans="2:4" ht="16.5" customHeight="1" x14ac:dyDescent="0.35">
      <c r="B68" s="10" t="s">
        <v>419</v>
      </c>
      <c r="C68" s="11">
        <f>IFERROR(C64*C65*C67,0)</f>
        <v>186.26887194920963</v>
      </c>
      <c r="D68" s="139" t="s">
        <v>420</v>
      </c>
    </row>
    <row r="69" spans="2:4" ht="16.5" customHeight="1" x14ac:dyDescent="0.35">
      <c r="B69" s="10" t="s">
        <v>421</v>
      </c>
      <c r="C69" s="11">
        <f>IFERROR(C64*C65/(C7+C10),0)</f>
        <v>124.17924796613976</v>
      </c>
      <c r="D69" s="139" t="s">
        <v>422</v>
      </c>
    </row>
    <row r="70" spans="2:4" ht="16.5" customHeight="1" x14ac:dyDescent="0.35">
      <c r="B70" s="121" t="s">
        <v>423</v>
      </c>
      <c r="C70" s="142">
        <f>IFERROR(C69/C62,0)</f>
        <v>1.3725231438070851</v>
      </c>
      <c r="D70" s="139" t="s">
        <v>424</v>
      </c>
    </row>
    <row r="71" spans="2:4" ht="16.5" customHeight="1" x14ac:dyDescent="0.35">
      <c r="B71" s="125" t="s">
        <v>425</v>
      </c>
      <c r="C71" s="138">
        <f>IFERROR(C62/(C64*C65),0)</f>
        <v>14.571703282557619</v>
      </c>
      <c r="D71" s="139" t="s">
        <v>426</v>
      </c>
    </row>
    <row r="72" spans="2:4" ht="18" customHeight="1" x14ac:dyDescent="0.35">
      <c r="B72" s="223" t="s">
        <v>427</v>
      </c>
      <c r="C72" s="224"/>
      <c r="D72" s="225"/>
    </row>
    <row r="73" spans="2:4" ht="16.5" customHeight="1" x14ac:dyDescent="0.35">
      <c r="B73" s="20" t="s">
        <v>449</v>
      </c>
      <c r="C73" s="165">
        <f>'Revenue (Monthly)'!C56</f>
        <v>2739.1195818965302</v>
      </c>
      <c r="D73" s="139" t="s">
        <v>428</v>
      </c>
    </row>
    <row r="74" spans="2:4" ht="16.5" customHeight="1" x14ac:dyDescent="0.35">
      <c r="B74" s="20" t="s">
        <v>450</v>
      </c>
      <c r="C74" s="157">
        <f>IFERROR(C73*$C$6,0)</f>
        <v>1835.210119870675</v>
      </c>
      <c r="D74" s="139" t="s">
        <v>429</v>
      </c>
    </row>
    <row r="75" spans="2:4" ht="16.5" customHeight="1" x14ac:dyDescent="0.35">
      <c r="B75" s="20" t="s">
        <v>452</v>
      </c>
      <c r="C75" s="157">
        <f>C8+C9</f>
        <v>1287.3862034913693</v>
      </c>
      <c r="D75" s="139" t="s">
        <v>409</v>
      </c>
    </row>
    <row r="76" spans="2:4" ht="16.5" customHeight="1" x14ac:dyDescent="0.35">
      <c r="B76" s="143" t="s">
        <v>430</v>
      </c>
      <c r="C76" s="166">
        <f>IFERROR(C74-C75,0)</f>
        <v>547.82391637930573</v>
      </c>
      <c r="D76" s="139" t="s">
        <v>431</v>
      </c>
    </row>
    <row r="77" spans="2:4" ht="16.5" customHeight="1" x14ac:dyDescent="0.35">
      <c r="B77" s="129" t="s">
        <v>451</v>
      </c>
      <c r="C77" s="158"/>
      <c r="D77" s="139"/>
    </row>
    <row r="78" spans="2:4" x14ac:dyDescent="0.35">
      <c r="B78" s="129" t="s">
        <v>432</v>
      </c>
      <c r="C78" s="144" t="str">
        <f>IFERROR(IF(C76&lt;0,ABS(C76),"Profitable"),"—")</f>
        <v>Profitable</v>
      </c>
      <c r="D78" s="139" t="s">
        <v>433</v>
      </c>
    </row>
  </sheetData>
  <mergeCells count="9">
    <mergeCell ref="B1:D1"/>
    <mergeCell ref="B57:D57"/>
    <mergeCell ref="B63:D63"/>
    <mergeCell ref="B72:D72"/>
    <mergeCell ref="B3:D3"/>
    <mergeCell ref="B12:D12"/>
    <mergeCell ref="B59:D59"/>
    <mergeCell ref="B27:Q27"/>
    <mergeCell ref="B42:Q4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CDDC"/>
  </sheetPr>
  <dimension ref="B1:E4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36" customWidth="1"/>
    <col min="3" max="4" width="18" customWidth="1"/>
    <col min="5" max="5" width="22" customWidth="1"/>
  </cols>
  <sheetData>
    <row r="1" spans="2:3" ht="27.75" customHeight="1" x14ac:dyDescent="0.35">
      <c r="B1" s="70" t="s">
        <v>64</v>
      </c>
      <c r="C1" s="70"/>
    </row>
    <row r="2" spans="2:3" ht="6" customHeight="1" x14ac:dyDescent="0.35">
      <c r="B2" s="86"/>
      <c r="C2" s="86"/>
    </row>
    <row r="3" spans="2:3" ht="15.75" customHeight="1" x14ac:dyDescent="0.35">
      <c r="B3" s="222" t="s">
        <v>65</v>
      </c>
      <c r="C3" s="222"/>
    </row>
    <row r="4" spans="2:3" ht="15.75" customHeight="1" x14ac:dyDescent="0.35">
      <c r="B4" s="87" t="s">
        <v>66</v>
      </c>
      <c r="C4" s="82"/>
    </row>
    <row r="5" spans="2:3" ht="16.5" customHeight="1" x14ac:dyDescent="0.35">
      <c r="B5" s="1" t="s">
        <v>67</v>
      </c>
      <c r="C5" s="8">
        <f>Assumptions!G46</f>
        <v>0.28252999999999995</v>
      </c>
    </row>
    <row r="6" spans="2:3" ht="16.5" customHeight="1" x14ac:dyDescent="0.35">
      <c r="B6" s="1" t="s">
        <v>37</v>
      </c>
      <c r="C6" s="8">
        <f>Assumptions!G47</f>
        <v>0.03</v>
      </c>
    </row>
    <row r="7" spans="2:3" ht="16.5" customHeight="1" x14ac:dyDescent="0.35">
      <c r="B7" s="1" t="s">
        <v>68</v>
      </c>
      <c r="C7" s="9">
        <f>'Financials (Annual)'!F26</f>
        <v>6244.6933352762098</v>
      </c>
    </row>
    <row r="8" spans="2:3" ht="16.5" customHeight="1" x14ac:dyDescent="0.35">
      <c r="B8" s="1" t="s">
        <v>69</v>
      </c>
      <c r="C8" s="9">
        <f>C7/(C5-C6)</f>
        <v>24728.520711504421</v>
      </c>
    </row>
    <row r="9" spans="2:3" ht="16.5" customHeight="1" x14ac:dyDescent="0.35">
      <c r="B9" s="1" t="s">
        <v>70</v>
      </c>
      <c r="C9" s="9">
        <f>IFERROR(NPV(C5,'Financials (Annual)'!C26:G26),0)</f>
        <v>9321.7909361179354</v>
      </c>
    </row>
    <row r="10" spans="2:3" ht="16.5" customHeight="1" x14ac:dyDescent="0.35">
      <c r="B10" s="1" t="s">
        <v>71</v>
      </c>
      <c r="C10" s="9">
        <f>C8/(1+C5)^5</f>
        <v>7126.240485041696</v>
      </c>
    </row>
    <row r="11" spans="2:3" ht="16.5" customHeight="1" x14ac:dyDescent="0.35">
      <c r="B11" s="6" t="s">
        <v>72</v>
      </c>
      <c r="C11" s="7">
        <f>C9+C10</f>
        <v>16448.031421159631</v>
      </c>
    </row>
    <row r="12" spans="2:3" ht="7.5" customHeight="1" x14ac:dyDescent="0.35"/>
    <row r="13" spans="2:3" ht="15.75" customHeight="1" x14ac:dyDescent="0.35">
      <c r="B13" s="222" t="s">
        <v>73</v>
      </c>
      <c r="C13" s="222"/>
    </row>
    <row r="14" spans="2:3" ht="15.75" customHeight="1" x14ac:dyDescent="0.35">
      <c r="B14" s="87" t="s">
        <v>66</v>
      </c>
      <c r="C14" s="82"/>
    </row>
    <row r="15" spans="2:3" ht="16.5" customHeight="1" x14ac:dyDescent="0.35">
      <c r="B15" s="1" t="s">
        <v>327</v>
      </c>
      <c r="C15" s="15">
        <f>'Financials (Annual)'!F5</f>
        <v>45815.338037704889</v>
      </c>
    </row>
    <row r="16" spans="2:3" ht="16.5" customHeight="1" x14ac:dyDescent="0.35">
      <c r="B16" s="1" t="s">
        <v>74</v>
      </c>
      <c r="C16" s="114">
        <f>Assumptions!G31</f>
        <v>5</v>
      </c>
    </row>
    <row r="17" spans="2:3" ht="16.5" customHeight="1" x14ac:dyDescent="0.35">
      <c r="B17" s="6" t="s">
        <v>75</v>
      </c>
      <c r="C17" s="7">
        <f>C15*C16</f>
        <v>229076.69018852443</v>
      </c>
    </row>
    <row r="18" spans="2:3" ht="16.5" customHeight="1" x14ac:dyDescent="0.35">
      <c r="B18" s="1" t="s">
        <v>76</v>
      </c>
      <c r="C18" s="114">
        <f>Assumptions!G32</f>
        <v>15</v>
      </c>
    </row>
    <row r="19" spans="2:3" ht="16.5" customHeight="1" x14ac:dyDescent="0.35">
      <c r="B19" s="1" t="s">
        <v>77</v>
      </c>
      <c r="C19" s="15">
        <f>'Financials (Annual)'!F13</f>
        <v>10537.527748672121</v>
      </c>
    </row>
    <row r="20" spans="2:3" ht="16.5" customHeight="1" x14ac:dyDescent="0.35">
      <c r="B20" s="6" t="s">
        <v>78</v>
      </c>
      <c r="C20" s="7">
        <f>C18*C19</f>
        <v>158062.91623008181</v>
      </c>
    </row>
    <row r="21" spans="2:3" ht="16.5" customHeight="1" x14ac:dyDescent="0.35">
      <c r="B21" s="6" t="s">
        <v>79</v>
      </c>
      <c r="C21" s="7">
        <f>(C17+C20)/2</f>
        <v>193569.80320930312</v>
      </c>
    </row>
    <row r="22" spans="2:3" ht="7.5" customHeight="1" x14ac:dyDescent="0.35"/>
    <row r="23" spans="2:3" ht="15.75" customHeight="1" x14ac:dyDescent="0.35">
      <c r="B23" s="222" t="s">
        <v>80</v>
      </c>
      <c r="C23" s="222"/>
    </row>
    <row r="24" spans="2:3" ht="15.75" customHeight="1" x14ac:dyDescent="0.35">
      <c r="B24" s="87" t="s">
        <v>66</v>
      </c>
      <c r="C24" s="82"/>
    </row>
    <row r="25" spans="2:3" ht="16.5" customHeight="1" x14ac:dyDescent="0.35">
      <c r="B25" s="1" t="s">
        <v>498</v>
      </c>
      <c r="C25" s="15">
        <f>'Financials (Annual)'!F5</f>
        <v>45815.338037704889</v>
      </c>
    </row>
    <row r="26" spans="2:3" ht="16.5" customHeight="1" x14ac:dyDescent="0.35">
      <c r="B26" s="1" t="s">
        <v>499</v>
      </c>
      <c r="C26" s="114">
        <f>Assumptions!G31</f>
        <v>5</v>
      </c>
    </row>
    <row r="27" spans="2:3" ht="16.5" customHeight="1" x14ac:dyDescent="0.35">
      <c r="B27" s="6" t="s">
        <v>497</v>
      </c>
      <c r="C27" s="7">
        <f>C25*C26</f>
        <v>229076.69018852443</v>
      </c>
    </row>
    <row r="28" spans="2:3" ht="16.5" customHeight="1" x14ac:dyDescent="0.35">
      <c r="B28" s="1" t="s">
        <v>81</v>
      </c>
      <c r="C28" s="5">
        <v>5</v>
      </c>
    </row>
    <row r="29" spans="2:3" ht="16.5" customHeight="1" x14ac:dyDescent="0.35">
      <c r="B29" s="1" t="s">
        <v>82</v>
      </c>
      <c r="C29" s="15">
        <f>Assumptions!G24</f>
        <v>50000</v>
      </c>
    </row>
    <row r="30" spans="2:3" ht="16.5" customHeight="1" x14ac:dyDescent="0.35">
      <c r="B30" s="6" t="s">
        <v>83</v>
      </c>
      <c r="C30" s="7">
        <f>C32*C28</f>
        <v>1395383.450942622</v>
      </c>
    </row>
    <row r="31" spans="2:3" ht="16.5" customHeight="1" x14ac:dyDescent="0.35">
      <c r="B31" s="6" t="s">
        <v>84</v>
      </c>
      <c r="C31" s="7">
        <f>C27</f>
        <v>229076.69018852443</v>
      </c>
    </row>
    <row r="32" spans="2:3" ht="16.5" customHeight="1" x14ac:dyDescent="0.35">
      <c r="B32" s="6" t="s">
        <v>85</v>
      </c>
      <c r="C32" s="7">
        <f>C31+C29</f>
        <v>279076.69018852443</v>
      </c>
    </row>
    <row r="33" spans="2:5" ht="16.5" customHeight="1" x14ac:dyDescent="0.35">
      <c r="B33" s="6" t="s">
        <v>86</v>
      </c>
      <c r="C33" s="14">
        <f>C29/C32</f>
        <v>0.17916222227740891</v>
      </c>
    </row>
    <row r="34" spans="2:5" ht="7.5" customHeight="1" x14ac:dyDescent="0.35"/>
    <row r="35" spans="2:5" ht="15.75" customHeight="1" x14ac:dyDescent="0.35">
      <c r="B35" s="222" t="s">
        <v>328</v>
      </c>
      <c r="C35" s="222"/>
      <c r="D35" s="222"/>
      <c r="E35" s="222"/>
    </row>
    <row r="36" spans="2:5" ht="15.75" customHeight="1" x14ac:dyDescent="0.35">
      <c r="B36" s="87" t="s">
        <v>87</v>
      </c>
      <c r="C36" s="82" t="s">
        <v>376</v>
      </c>
      <c r="D36" s="82" t="s">
        <v>88</v>
      </c>
      <c r="E36" s="82" t="s">
        <v>89</v>
      </c>
    </row>
    <row r="37" spans="2:5" ht="16.5" customHeight="1" x14ac:dyDescent="0.35">
      <c r="B37" s="1" t="s">
        <v>90</v>
      </c>
      <c r="C37" s="9">
        <f>C11</f>
        <v>16448.031421159631</v>
      </c>
      <c r="D37" s="3">
        <v>0.3</v>
      </c>
      <c r="E37" s="115">
        <f>C37*D37</f>
        <v>4934.4094263478892</v>
      </c>
    </row>
    <row r="38" spans="2:5" ht="16.5" customHeight="1" x14ac:dyDescent="0.35">
      <c r="B38" s="1" t="s">
        <v>91</v>
      </c>
      <c r="C38" s="9">
        <f>C21</f>
        <v>193569.80320930312</v>
      </c>
      <c r="D38" s="3">
        <v>0.4</v>
      </c>
      <c r="E38" s="115">
        <f t="shared" ref="E38:E39" si="0">C38*D38</f>
        <v>77427.921283721254</v>
      </c>
    </row>
    <row r="39" spans="2:5" ht="16.5" customHeight="1" x14ac:dyDescent="0.35">
      <c r="B39" s="1" t="s">
        <v>92</v>
      </c>
      <c r="C39" s="9">
        <f>C27</f>
        <v>229076.69018852443</v>
      </c>
      <c r="D39" s="3">
        <v>0.3</v>
      </c>
      <c r="E39" s="115">
        <f t="shared" si="0"/>
        <v>68723.007056557326</v>
      </c>
    </row>
    <row r="40" spans="2:5" ht="16.5" customHeight="1" x14ac:dyDescent="0.35">
      <c r="B40" s="88" t="s">
        <v>329</v>
      </c>
      <c r="C40" s="89"/>
      <c r="D40" s="89"/>
      <c r="E40" s="90">
        <f>SUM(E37:E39)</f>
        <v>151085.33776662647</v>
      </c>
    </row>
  </sheetData>
  <mergeCells count="4">
    <mergeCell ref="B35:E35"/>
    <mergeCell ref="B3:C3"/>
    <mergeCell ref="B13:C13"/>
    <mergeCell ref="B23:C2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CDDC"/>
  </sheetPr>
  <dimension ref="B1:G2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36" customWidth="1"/>
    <col min="3" max="3" width="31.453125" customWidth="1"/>
    <col min="4" max="4" width="26" bestFit="1" customWidth="1"/>
    <col min="5" max="5" width="27" bestFit="1" customWidth="1"/>
    <col min="6" max="6" width="18" customWidth="1"/>
    <col min="7" max="7" width="22" customWidth="1"/>
  </cols>
  <sheetData>
    <row r="1" spans="2:5" ht="27.75" customHeight="1" x14ac:dyDescent="0.35">
      <c r="B1" s="70" t="s">
        <v>93</v>
      </c>
      <c r="C1" s="70"/>
    </row>
    <row r="2" spans="2:5" ht="6" customHeight="1" x14ac:dyDescent="0.35">
      <c r="B2" s="86"/>
      <c r="C2" s="86"/>
    </row>
    <row r="3" spans="2:5" ht="15.75" customHeight="1" x14ac:dyDescent="0.35">
      <c r="B3" s="85" t="s">
        <v>94</v>
      </c>
      <c r="C3" s="85"/>
      <c r="E3" s="175"/>
    </row>
    <row r="4" spans="2:5" ht="15.75" customHeight="1" x14ac:dyDescent="0.35">
      <c r="B4" s="87" t="s">
        <v>66</v>
      </c>
      <c r="C4" s="82"/>
    </row>
    <row r="5" spans="2:5" ht="16.5" customHeight="1" x14ac:dyDescent="0.35">
      <c r="B5" s="1" t="s">
        <v>95</v>
      </c>
      <c r="C5" s="15">
        <f>Valuation!C31</f>
        <v>229076.69018852443</v>
      </c>
    </row>
    <row r="6" spans="2:5" ht="16.5" customHeight="1" x14ac:dyDescent="0.35">
      <c r="B6" s="1" t="s">
        <v>82</v>
      </c>
      <c r="C6" s="15">
        <f>Assumptions!G24</f>
        <v>50000</v>
      </c>
    </row>
    <row r="7" spans="2:5" ht="16.5" customHeight="1" x14ac:dyDescent="0.35">
      <c r="B7" s="6" t="s">
        <v>85</v>
      </c>
      <c r="C7" s="7">
        <f>C5+C6</f>
        <v>279076.69018852443</v>
      </c>
    </row>
    <row r="8" spans="2:5" ht="16.5" customHeight="1" x14ac:dyDescent="0.35">
      <c r="B8" s="1" t="s">
        <v>96</v>
      </c>
      <c r="C8" s="116">
        <f>Valuation!C33</f>
        <v>0.17916222227740891</v>
      </c>
    </row>
    <row r="9" spans="2:5" ht="16.5" customHeight="1" x14ac:dyDescent="0.35">
      <c r="B9" s="1" t="s">
        <v>97</v>
      </c>
      <c r="C9" s="116">
        <f>Assumptions!G27</f>
        <v>0.1</v>
      </c>
    </row>
    <row r="10" spans="2:5" ht="16.5" customHeight="1" x14ac:dyDescent="0.35">
      <c r="B10" s="6" t="s">
        <v>98</v>
      </c>
      <c r="C10" s="14">
        <f>C8*(1-C9)</f>
        <v>0.16124600004966802</v>
      </c>
    </row>
    <row r="11" spans="2:5" ht="7.5" customHeight="1" x14ac:dyDescent="0.35"/>
    <row r="12" spans="2:5" ht="15.75" customHeight="1" x14ac:dyDescent="0.35">
      <c r="B12" s="85" t="s">
        <v>99</v>
      </c>
      <c r="C12" s="85"/>
    </row>
    <row r="13" spans="2:5" ht="15.75" customHeight="1" x14ac:dyDescent="0.35">
      <c r="B13" s="87" t="s">
        <v>66</v>
      </c>
      <c r="C13" s="82"/>
    </row>
    <row r="14" spans="2:5" ht="16.5" customHeight="1" x14ac:dyDescent="0.35">
      <c r="B14" s="6" t="s">
        <v>83</v>
      </c>
      <c r="C14" s="176">
        <f>Valuation!C30</f>
        <v>1395383.450942622</v>
      </c>
    </row>
    <row r="15" spans="2:5" ht="16.5" customHeight="1" x14ac:dyDescent="0.35">
      <c r="B15" s="1" t="s">
        <v>100</v>
      </c>
      <c r="C15" s="15">
        <f>Assumptions!G30</f>
        <v>5</v>
      </c>
    </row>
    <row r="16" spans="2:5" ht="16.5" customHeight="1" x14ac:dyDescent="0.35">
      <c r="B16" s="1" t="s">
        <v>101</v>
      </c>
      <c r="C16" s="115">
        <f>C6*Assumptions!G34</f>
        <v>50000</v>
      </c>
    </row>
    <row r="17" spans="2:7" ht="16.5" customHeight="1" x14ac:dyDescent="0.35">
      <c r="B17" s="6" t="s">
        <v>102</v>
      </c>
      <c r="C17" s="7">
        <f>MAX(C16,C14*C10)</f>
        <v>224999.99999999997</v>
      </c>
    </row>
    <row r="18" spans="2:7" ht="16.5" customHeight="1" x14ac:dyDescent="0.35">
      <c r="B18" s="79" t="s">
        <v>103</v>
      </c>
      <c r="C18" s="95">
        <f>IFERROR(C17/C6,0)</f>
        <v>4.4999999999999991</v>
      </c>
    </row>
    <row r="19" spans="2:7" ht="16.5" customHeight="1" x14ac:dyDescent="0.35">
      <c r="B19" s="79" t="s">
        <v>104</v>
      </c>
      <c r="C19" s="96">
        <f>IFERROR((C18)^(1/C15)-1,0)</f>
        <v>0.35096003852061353</v>
      </c>
    </row>
    <row r="20" spans="2:7" ht="16.5" customHeight="1" x14ac:dyDescent="0.35">
      <c r="B20" s="79" t="s">
        <v>105</v>
      </c>
      <c r="C20" s="95">
        <f>C18*Assumptions!G33</f>
        <v>2.6999999999999993</v>
      </c>
    </row>
    <row r="21" spans="2:7" ht="7.5" customHeight="1" x14ac:dyDescent="0.35"/>
    <row r="22" spans="2:7" ht="15.75" hidden="1" customHeight="1" x14ac:dyDescent="0.35">
      <c r="B22" s="222" t="s">
        <v>315</v>
      </c>
      <c r="C22" s="222"/>
      <c r="D22" s="222"/>
      <c r="E22" s="222"/>
      <c r="F22" s="222"/>
      <c r="G22" s="222"/>
    </row>
    <row r="23" spans="2:7" ht="15.75" hidden="1" customHeight="1" x14ac:dyDescent="0.35">
      <c r="B23" s="97" t="s">
        <v>314</v>
      </c>
      <c r="C23" s="82" t="s">
        <v>106</v>
      </c>
      <c r="D23" s="82" t="s">
        <v>107</v>
      </c>
      <c r="E23" s="82" t="s">
        <v>108</v>
      </c>
      <c r="F23" s="82" t="s">
        <v>109</v>
      </c>
      <c r="G23" s="82" t="s">
        <v>110</v>
      </c>
    </row>
    <row r="24" spans="2:7" ht="15.75" hidden="1" customHeight="1" x14ac:dyDescent="0.35">
      <c r="B24" s="82" t="s">
        <v>111</v>
      </c>
      <c r="C24" s="18"/>
      <c r="D24" s="18"/>
      <c r="E24" s="18"/>
      <c r="F24" s="18"/>
      <c r="G24" s="18"/>
    </row>
    <row r="25" spans="2:7" ht="15.75" hidden="1" customHeight="1" x14ac:dyDescent="0.35">
      <c r="B25" s="82" t="s">
        <v>112</v>
      </c>
      <c r="C25" s="18"/>
      <c r="D25" s="18"/>
      <c r="E25" s="18"/>
      <c r="F25" s="18"/>
      <c r="G25" s="18"/>
    </row>
    <row r="26" spans="2:7" ht="15.75" hidden="1" customHeight="1" x14ac:dyDescent="0.35">
      <c r="B26" s="82" t="s">
        <v>113</v>
      </c>
      <c r="C26" s="19"/>
      <c r="D26" s="18"/>
      <c r="E26" s="18"/>
      <c r="F26" s="18"/>
      <c r="G26" s="18"/>
    </row>
    <row r="27" spans="2:7" ht="15.75" hidden="1" customHeight="1" x14ac:dyDescent="0.35">
      <c r="B27" s="82" t="s">
        <v>114</v>
      </c>
      <c r="C27" s="19"/>
      <c r="D27" s="18"/>
      <c r="E27" s="18"/>
      <c r="F27" s="18"/>
      <c r="G27" s="18"/>
    </row>
    <row r="28" spans="2:7" ht="15.75" hidden="1" customHeight="1" x14ac:dyDescent="0.35">
      <c r="B28" s="82" t="s">
        <v>115</v>
      </c>
      <c r="C28" s="19"/>
      <c r="D28" s="19"/>
      <c r="E28" s="18"/>
      <c r="F28" s="18"/>
      <c r="G28" s="18"/>
    </row>
  </sheetData>
  <mergeCells count="1">
    <mergeCell ref="B22:G22"/>
  </mergeCells>
  <conditionalFormatting sqref="C24:G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CDDC"/>
  </sheetPr>
  <dimension ref="B1:G2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36" customWidth="1"/>
    <col min="3" max="3" width="22" customWidth="1"/>
    <col min="4" max="6" width="12" customWidth="1"/>
    <col min="7" max="7" width="27.453125" bestFit="1" customWidth="1"/>
  </cols>
  <sheetData>
    <row r="1" spans="2:7" ht="27.75" customHeight="1" x14ac:dyDescent="0.35">
      <c r="B1" s="70" t="s">
        <v>116</v>
      </c>
      <c r="C1" s="70"/>
      <c r="D1" s="70"/>
      <c r="E1" s="70"/>
      <c r="F1" s="70"/>
      <c r="G1" s="70"/>
    </row>
    <row r="2" spans="2:7" ht="6" customHeight="1" x14ac:dyDescent="0.35">
      <c r="B2" s="86"/>
      <c r="C2" s="86"/>
      <c r="D2" s="86"/>
      <c r="E2" s="86"/>
      <c r="F2" s="86"/>
      <c r="G2" s="86"/>
    </row>
    <row r="3" spans="2:7" ht="15.75" customHeight="1" x14ac:dyDescent="0.35">
      <c r="B3" s="222" t="s">
        <v>117</v>
      </c>
      <c r="C3" s="222"/>
      <c r="D3" s="222"/>
      <c r="E3" s="222"/>
      <c r="F3" s="222"/>
      <c r="G3" s="222"/>
    </row>
    <row r="4" spans="2:7" ht="15.75" customHeight="1" x14ac:dyDescent="0.35">
      <c r="B4" s="87" t="s">
        <v>118</v>
      </c>
      <c r="C4" s="87" t="s">
        <v>2</v>
      </c>
      <c r="D4" s="82" t="s">
        <v>119</v>
      </c>
      <c r="E4" s="82" t="s">
        <v>88</v>
      </c>
      <c r="F4" s="82" t="s">
        <v>120</v>
      </c>
      <c r="G4" s="82" t="s">
        <v>121</v>
      </c>
    </row>
    <row r="5" spans="2:7" ht="30" x14ac:dyDescent="0.35">
      <c r="B5" s="20" t="s">
        <v>122</v>
      </c>
      <c r="C5" s="21" t="s">
        <v>123</v>
      </c>
      <c r="D5" s="22">
        <v>5</v>
      </c>
      <c r="E5" s="23">
        <v>0.15</v>
      </c>
      <c r="F5" s="24">
        <f t="shared" ref="F5:F14" si="0">D5*E5</f>
        <v>0.75</v>
      </c>
      <c r="G5" s="25" t="str">
        <f t="shared" ref="G5:G6" si="1">IF(D5&lt;=2,"⚠️ HIGH RISK",IF(D5&lt;=3,"🔶 MODERATE RISK","✅ LOW RISK"))</f>
        <v>✅ LOW RISK</v>
      </c>
    </row>
    <row r="6" spans="2:7" ht="20" x14ac:dyDescent="0.35">
      <c r="B6" s="26" t="s">
        <v>124</v>
      </c>
      <c r="C6" s="27" t="s">
        <v>125</v>
      </c>
      <c r="D6" s="28">
        <v>4</v>
      </c>
      <c r="E6" s="29">
        <v>0.1</v>
      </c>
      <c r="F6" s="30">
        <f t="shared" si="0"/>
        <v>0.4</v>
      </c>
      <c r="G6" s="25" t="str">
        <f t="shared" si="1"/>
        <v>✅ LOW RISK</v>
      </c>
    </row>
    <row r="7" spans="2:7" ht="30" x14ac:dyDescent="0.35">
      <c r="B7" s="20" t="s">
        <v>126</v>
      </c>
      <c r="C7" s="21" t="s">
        <v>127</v>
      </c>
      <c r="D7" s="22">
        <v>3</v>
      </c>
      <c r="E7" s="23">
        <v>0.12</v>
      </c>
      <c r="F7" s="24">
        <f t="shared" si="0"/>
        <v>0.36</v>
      </c>
      <c r="G7" s="25" t="str">
        <f>IF(D7&lt;=2,"⚠️ HIGH RISK",IF(D7&lt;=3,"🔶 MODERATE RISK","✅ LOW RISK"))</f>
        <v>🔶 MODERATE RISK</v>
      </c>
    </row>
    <row r="8" spans="2:7" ht="20" x14ac:dyDescent="0.35">
      <c r="B8" s="26" t="s">
        <v>128</v>
      </c>
      <c r="C8" s="27" t="s">
        <v>129</v>
      </c>
      <c r="D8" s="28">
        <v>3</v>
      </c>
      <c r="E8" s="29">
        <v>0.12</v>
      </c>
      <c r="F8" s="30">
        <f t="shared" si="0"/>
        <v>0.36</v>
      </c>
      <c r="G8" s="25" t="str">
        <f t="shared" ref="G8:G14" si="2">IF(D8&lt;=2,"⚠️ HIGH RISK",IF(D8&lt;=3,"🔶 MODERATE RISK","✅ LOW RISK"))</f>
        <v>🔶 MODERATE RISK</v>
      </c>
    </row>
    <row r="9" spans="2:7" ht="30" x14ac:dyDescent="0.35">
      <c r="B9" s="20" t="s">
        <v>130</v>
      </c>
      <c r="C9" s="21" t="s">
        <v>131</v>
      </c>
      <c r="D9" s="22">
        <v>2</v>
      </c>
      <c r="E9" s="23">
        <v>0.1</v>
      </c>
      <c r="F9" s="24">
        <f t="shared" si="0"/>
        <v>0.2</v>
      </c>
      <c r="G9" s="25" t="str">
        <f t="shared" si="2"/>
        <v>⚠️ HIGH RISK</v>
      </c>
    </row>
    <row r="10" spans="2:7" ht="30" x14ac:dyDescent="0.35">
      <c r="B10" s="26" t="s">
        <v>132</v>
      </c>
      <c r="C10" s="27" t="s">
        <v>133</v>
      </c>
      <c r="D10" s="28">
        <v>2</v>
      </c>
      <c r="E10" s="29">
        <v>0.08</v>
      </c>
      <c r="F10" s="30">
        <f t="shared" si="0"/>
        <v>0.16</v>
      </c>
      <c r="G10" s="25" t="str">
        <f t="shared" si="2"/>
        <v>⚠️ HIGH RISK</v>
      </c>
    </row>
    <row r="11" spans="2:7" ht="30" x14ac:dyDescent="0.35">
      <c r="B11" s="20" t="s">
        <v>134</v>
      </c>
      <c r="C11" s="21" t="s">
        <v>135</v>
      </c>
      <c r="D11" s="22">
        <v>2</v>
      </c>
      <c r="E11" s="23">
        <v>0.08</v>
      </c>
      <c r="F11" s="24">
        <f t="shared" si="0"/>
        <v>0.16</v>
      </c>
      <c r="G11" s="25" t="str">
        <f t="shared" si="2"/>
        <v>⚠️ HIGH RISK</v>
      </c>
    </row>
    <row r="12" spans="2:7" ht="20" x14ac:dyDescent="0.35">
      <c r="B12" s="26" t="s">
        <v>136</v>
      </c>
      <c r="C12" s="27" t="s">
        <v>137</v>
      </c>
      <c r="D12" s="28">
        <v>4</v>
      </c>
      <c r="E12" s="29">
        <v>0.08</v>
      </c>
      <c r="F12" s="30">
        <f t="shared" si="0"/>
        <v>0.32</v>
      </c>
      <c r="G12" s="25" t="str">
        <f t="shared" si="2"/>
        <v>✅ LOW RISK</v>
      </c>
    </row>
    <row r="13" spans="2:7" ht="20" x14ac:dyDescent="0.35">
      <c r="B13" s="20" t="s">
        <v>138</v>
      </c>
      <c r="C13" s="21" t="s">
        <v>139</v>
      </c>
      <c r="D13" s="22">
        <v>3</v>
      </c>
      <c r="E13" s="23">
        <v>7.0000000000000007E-2</v>
      </c>
      <c r="F13" s="24">
        <f t="shared" si="0"/>
        <v>0.21000000000000002</v>
      </c>
      <c r="G13" s="25" t="str">
        <f t="shared" si="2"/>
        <v>🔶 MODERATE RISK</v>
      </c>
    </row>
    <row r="14" spans="2:7" ht="30" x14ac:dyDescent="0.35">
      <c r="B14" s="26" t="s">
        <v>140</v>
      </c>
      <c r="C14" s="27" t="s">
        <v>141</v>
      </c>
      <c r="D14" s="28">
        <v>3</v>
      </c>
      <c r="E14" s="29">
        <v>0.1</v>
      </c>
      <c r="F14" s="30">
        <f t="shared" si="0"/>
        <v>0.30000000000000004</v>
      </c>
      <c r="G14" s="25" t="str">
        <f t="shared" si="2"/>
        <v>🔶 MODERATE RISK</v>
      </c>
    </row>
    <row r="15" spans="2:7" ht="19.5" customHeight="1" x14ac:dyDescent="0.35">
      <c r="B15" s="99" t="s">
        <v>142</v>
      </c>
      <c r="C15" s="100"/>
      <c r="D15" s="100"/>
      <c r="E15" s="100"/>
      <c r="F15" s="101">
        <f>SUM(F5:F14)</f>
        <v>3.2199999999999998</v>
      </c>
      <c r="G15" s="102" t="str">
        <f>IF(F15&lt;2,"❌ DO NOT INVEST",IF(F15&lt;3,"⚠️ HIGH CAUTION",IF(F15&lt;4,"🔶 PROCEED WITH CONDITIONS","✅ FAVOURABLE")))</f>
        <v>🔶 PROCEED WITH CONDITIONS</v>
      </c>
    </row>
    <row r="16" spans="2:7" ht="7.5" customHeight="1" x14ac:dyDescent="0.35"/>
    <row r="17" spans="2:7" ht="15.75" hidden="1" customHeight="1" x14ac:dyDescent="0.35">
      <c r="B17" s="222" t="s">
        <v>143</v>
      </c>
      <c r="C17" s="222"/>
      <c r="D17" s="222"/>
      <c r="E17" s="222"/>
      <c r="F17" s="222"/>
      <c r="G17" s="222"/>
    </row>
    <row r="18" spans="2:7" ht="15.75" hidden="1" customHeight="1" x14ac:dyDescent="0.35">
      <c r="B18" s="98" t="s">
        <v>144</v>
      </c>
      <c r="C18" s="82" t="s">
        <v>145</v>
      </c>
      <c r="D18" s="82" t="s">
        <v>146</v>
      </c>
      <c r="E18" s="82" t="s">
        <v>147</v>
      </c>
      <c r="F18" s="82" t="s">
        <v>148</v>
      </c>
      <c r="G18" s="82" t="s">
        <v>149</v>
      </c>
    </row>
    <row r="19" spans="2:7" ht="15.75" hidden="1" customHeight="1" x14ac:dyDescent="0.35">
      <c r="B19" s="82" t="s">
        <v>150</v>
      </c>
      <c r="C19" s="31"/>
      <c r="D19" s="31"/>
      <c r="E19" s="31"/>
      <c r="F19" s="32"/>
      <c r="G19" s="33"/>
    </row>
    <row r="20" spans="2:7" ht="15.75" hidden="1" customHeight="1" x14ac:dyDescent="0.35">
      <c r="B20" s="82" t="s">
        <v>151</v>
      </c>
      <c r="C20" s="31"/>
      <c r="D20" s="31"/>
      <c r="E20" s="32"/>
      <c r="F20" s="33"/>
      <c r="G20" s="33"/>
    </row>
    <row r="21" spans="2:7" ht="15.75" hidden="1" customHeight="1" x14ac:dyDescent="0.35">
      <c r="B21" s="82" t="s">
        <v>152</v>
      </c>
      <c r="C21" s="31"/>
      <c r="D21" s="31"/>
      <c r="E21" s="33"/>
      <c r="F21" s="33"/>
      <c r="G21" s="33"/>
    </row>
    <row r="22" spans="2:7" ht="15.75" hidden="1" customHeight="1" x14ac:dyDescent="0.35">
      <c r="B22" s="82" t="s">
        <v>153</v>
      </c>
      <c r="C22" s="31"/>
      <c r="D22" s="31"/>
      <c r="E22" s="33"/>
      <c r="F22" s="33"/>
      <c r="G22" s="33"/>
    </row>
    <row r="23" spans="2:7" ht="15.75" hidden="1" customHeight="1" x14ac:dyDescent="0.35">
      <c r="B23" s="82" t="s">
        <v>154</v>
      </c>
      <c r="C23" s="31"/>
      <c r="D23" s="32"/>
      <c r="E23" s="33"/>
      <c r="F23" s="33"/>
      <c r="G23" s="33"/>
    </row>
  </sheetData>
  <mergeCells count="2">
    <mergeCell ref="B3:G3"/>
    <mergeCell ref="B17:G17"/>
  </mergeCells>
  <conditionalFormatting sqref="C19:G2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G5:G14">
    <cfRule type="cellIs" dxfId="16" priority="1" operator="equal">
      <formula>"⚠️ HIGH RISK"</formula>
    </cfRule>
    <cfRule type="cellIs" dxfId="15" priority="2" operator="equal">
      <formula>"🔶 MODERATE RISK"</formula>
    </cfRule>
    <cfRule type="cellIs" dxfId="14" priority="3" operator="equal">
      <formula>"✅ LOW RISK"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CDDC"/>
  </sheetPr>
  <dimension ref="B1:F2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36" customWidth="1"/>
    <col min="3" max="5" width="22" customWidth="1"/>
    <col min="6" max="6" width="28.6328125" bestFit="1" customWidth="1"/>
  </cols>
  <sheetData>
    <row r="1" spans="2:6" ht="27.75" customHeight="1" x14ac:dyDescent="0.35">
      <c r="B1" s="70" t="s">
        <v>155</v>
      </c>
      <c r="C1" s="70"/>
      <c r="D1" s="70"/>
      <c r="E1" s="70"/>
      <c r="F1" s="70"/>
    </row>
    <row r="2" spans="2:6" ht="6" customHeight="1" x14ac:dyDescent="0.35">
      <c r="B2" s="86"/>
      <c r="C2" s="86"/>
      <c r="D2" s="86"/>
      <c r="E2" s="86"/>
      <c r="F2" s="86"/>
    </row>
    <row r="3" spans="2:6" ht="15.75" customHeight="1" x14ac:dyDescent="0.35">
      <c r="B3" s="222" t="s">
        <v>156</v>
      </c>
      <c r="C3" s="222"/>
      <c r="D3" s="222"/>
      <c r="E3" s="222"/>
      <c r="F3" s="222"/>
    </row>
    <row r="4" spans="2:6" ht="15.75" customHeight="1" x14ac:dyDescent="0.35">
      <c r="B4" s="87" t="s">
        <v>157</v>
      </c>
      <c r="C4" s="82" t="s">
        <v>158</v>
      </c>
      <c r="D4" s="82" t="s">
        <v>159</v>
      </c>
      <c r="E4" s="82" t="s">
        <v>502</v>
      </c>
      <c r="F4" s="82" t="s">
        <v>160</v>
      </c>
    </row>
    <row r="5" spans="2:6" ht="16.5" customHeight="1" x14ac:dyDescent="0.35">
      <c r="B5" s="20" t="s">
        <v>161</v>
      </c>
      <c r="C5" s="34">
        <v>150000</v>
      </c>
      <c r="D5" s="180">
        <f>C5/$C$9</f>
        <v>0.75</v>
      </c>
      <c r="E5" s="34">
        <v>150000</v>
      </c>
      <c r="F5" s="180">
        <f>E5/$E$9</f>
        <v>0.6</v>
      </c>
    </row>
    <row r="6" spans="2:6" ht="16.5" customHeight="1" x14ac:dyDescent="0.35">
      <c r="B6" s="26" t="s">
        <v>162</v>
      </c>
      <c r="C6" s="35">
        <v>25000</v>
      </c>
      <c r="D6" s="181">
        <f t="shared" ref="D6:D8" si="0">C6/$C$9</f>
        <v>0.125</v>
      </c>
      <c r="E6" s="35">
        <v>25000</v>
      </c>
      <c r="F6" s="181">
        <f t="shared" ref="F6:F8" si="1">E6/$E$9</f>
        <v>0.1</v>
      </c>
    </row>
    <row r="7" spans="2:6" ht="16.5" customHeight="1" x14ac:dyDescent="0.35">
      <c r="B7" s="20" t="s">
        <v>163</v>
      </c>
      <c r="C7" s="34">
        <v>25000</v>
      </c>
      <c r="D7" s="180">
        <f t="shared" si="0"/>
        <v>0.125</v>
      </c>
      <c r="E7" s="34">
        <v>25000</v>
      </c>
      <c r="F7" s="180">
        <f t="shared" si="1"/>
        <v>0.1</v>
      </c>
    </row>
    <row r="8" spans="2:6" ht="16.5" customHeight="1" x14ac:dyDescent="0.35">
      <c r="B8" s="26" t="s">
        <v>164</v>
      </c>
      <c r="C8" s="36">
        <v>0</v>
      </c>
      <c r="D8" s="182">
        <f t="shared" si="0"/>
        <v>0</v>
      </c>
      <c r="E8" s="35">
        <f>Assumptions!G24</f>
        <v>50000</v>
      </c>
      <c r="F8" s="181">
        <f t="shared" si="1"/>
        <v>0.2</v>
      </c>
    </row>
    <row r="9" spans="2:6" ht="16.5" customHeight="1" x14ac:dyDescent="0.35">
      <c r="B9" s="16" t="s">
        <v>166</v>
      </c>
      <c r="C9" s="136">
        <f t="shared" ref="C9" si="2">SUM(C5:C8)</f>
        <v>200000</v>
      </c>
      <c r="D9" s="37">
        <f>SUM(D5:D8)</f>
        <v>1</v>
      </c>
      <c r="E9" s="136">
        <f t="shared" ref="E9:F9" si="3">SUM(E5:E8)</f>
        <v>250000</v>
      </c>
      <c r="F9" s="37">
        <f t="shared" si="3"/>
        <v>1</v>
      </c>
    </row>
    <row r="10" spans="2:6" ht="7.5" customHeight="1" x14ac:dyDescent="0.35"/>
    <row r="11" spans="2:6" ht="15.75" customHeight="1" x14ac:dyDescent="0.35">
      <c r="B11" s="222" t="s">
        <v>167</v>
      </c>
      <c r="C11" s="222"/>
      <c r="D11" s="222"/>
      <c r="E11" s="222"/>
      <c r="F11" s="222"/>
    </row>
    <row r="12" spans="2:6" ht="15.75" customHeight="1" x14ac:dyDescent="0.35">
      <c r="B12" s="87" t="s">
        <v>168</v>
      </c>
      <c r="C12" s="82" t="s">
        <v>169</v>
      </c>
      <c r="D12" s="82" t="s">
        <v>170</v>
      </c>
      <c r="E12" s="82" t="s">
        <v>171</v>
      </c>
      <c r="F12" s="82" t="s">
        <v>172</v>
      </c>
    </row>
    <row r="13" spans="2:6" ht="18" customHeight="1" x14ac:dyDescent="0.35">
      <c r="B13" s="38" t="s">
        <v>173</v>
      </c>
      <c r="C13" s="39" t="s">
        <v>174</v>
      </c>
      <c r="D13" s="39"/>
      <c r="E13" s="40" t="s">
        <v>175</v>
      </c>
      <c r="F13" s="38"/>
    </row>
    <row r="14" spans="2:6" ht="18" customHeight="1" x14ac:dyDescent="0.35">
      <c r="B14" s="41" t="s">
        <v>95</v>
      </c>
      <c r="C14" s="177">
        <f>'Return Modelling'!C5</f>
        <v>229076.69018852443</v>
      </c>
      <c r="D14" s="42"/>
      <c r="E14" s="43" t="s">
        <v>500</v>
      </c>
      <c r="F14" s="41"/>
    </row>
    <row r="15" spans="2:6" ht="18" customHeight="1" x14ac:dyDescent="0.35">
      <c r="B15" s="38" t="s">
        <v>176</v>
      </c>
      <c r="C15" s="178">
        <f>'Return Modelling'!C6</f>
        <v>50000</v>
      </c>
      <c r="D15" s="39"/>
      <c r="E15" s="40" t="s">
        <v>500</v>
      </c>
      <c r="F15" s="38"/>
    </row>
    <row r="16" spans="2:6" ht="18" customHeight="1" x14ac:dyDescent="0.35">
      <c r="B16" s="41" t="s">
        <v>177</v>
      </c>
      <c r="C16" s="179">
        <f>'Return Modelling'!C10</f>
        <v>0.16124600004966802</v>
      </c>
      <c r="D16" s="42"/>
      <c r="E16" s="43" t="s">
        <v>500</v>
      </c>
      <c r="F16" s="41"/>
    </row>
    <row r="17" spans="2:6" ht="18" customHeight="1" x14ac:dyDescent="0.35">
      <c r="B17" s="38" t="s">
        <v>178</v>
      </c>
      <c r="C17" s="39" t="s">
        <v>179</v>
      </c>
      <c r="D17" s="39"/>
      <c r="E17" s="40" t="s">
        <v>175</v>
      </c>
      <c r="F17" s="38"/>
    </row>
    <row r="18" spans="2:6" ht="18" customHeight="1" x14ac:dyDescent="0.35">
      <c r="B18" s="41" t="s">
        <v>180</v>
      </c>
      <c r="C18" s="42" t="s">
        <v>181</v>
      </c>
      <c r="D18" s="42"/>
      <c r="E18" s="43" t="s">
        <v>175</v>
      </c>
      <c r="F18" s="41"/>
    </row>
    <row r="19" spans="2:6" ht="18" customHeight="1" x14ac:dyDescent="0.35">
      <c r="B19" s="38" t="s">
        <v>182</v>
      </c>
      <c r="C19" s="39" t="s">
        <v>501</v>
      </c>
      <c r="D19" s="39"/>
      <c r="E19" s="40" t="s">
        <v>175</v>
      </c>
      <c r="F19" s="38"/>
    </row>
    <row r="20" spans="2:6" ht="18" customHeight="1" x14ac:dyDescent="0.35">
      <c r="B20" s="41" t="s">
        <v>183</v>
      </c>
      <c r="C20" s="42" t="s">
        <v>184</v>
      </c>
      <c r="D20" s="42"/>
      <c r="E20" s="43" t="s">
        <v>175</v>
      </c>
      <c r="F20" s="41"/>
    </row>
    <row r="21" spans="2:6" ht="18" customHeight="1" x14ac:dyDescent="0.35">
      <c r="B21" s="38" t="s">
        <v>101</v>
      </c>
      <c r="C21" s="39" t="s">
        <v>185</v>
      </c>
      <c r="D21" s="39"/>
      <c r="E21" s="40" t="s">
        <v>175</v>
      </c>
      <c r="F21" s="38"/>
    </row>
    <row r="22" spans="2:6" ht="18" customHeight="1" x14ac:dyDescent="0.35">
      <c r="B22" s="41" t="s">
        <v>186</v>
      </c>
      <c r="C22" s="42" t="s">
        <v>187</v>
      </c>
      <c r="D22" s="42"/>
      <c r="E22" s="43" t="s">
        <v>175</v>
      </c>
      <c r="F22" s="41"/>
    </row>
    <row r="23" spans="2:6" ht="18" customHeight="1" x14ac:dyDescent="0.35">
      <c r="B23" s="38" t="s">
        <v>188</v>
      </c>
      <c r="C23" s="39" t="s">
        <v>189</v>
      </c>
      <c r="D23" s="39"/>
      <c r="E23" s="40" t="s">
        <v>175</v>
      </c>
      <c r="F23" s="38"/>
    </row>
    <row r="24" spans="2:6" ht="18" customHeight="1" x14ac:dyDescent="0.35">
      <c r="B24" s="41" t="s">
        <v>190</v>
      </c>
      <c r="C24" s="42" t="s">
        <v>191</v>
      </c>
      <c r="D24" s="42"/>
      <c r="E24" s="43" t="s">
        <v>175</v>
      </c>
      <c r="F24" s="41"/>
    </row>
  </sheetData>
  <mergeCells count="2">
    <mergeCell ref="B3:F3"/>
    <mergeCell ref="B11:F11"/>
  </mergeCells>
  <conditionalFormatting sqref="E13:E24">
    <cfRule type="cellIs" dxfId="13" priority="1" operator="equal">
      <formula>"Accepted"</formula>
    </cfRule>
    <cfRule type="cellIs" dxfId="12" priority="2" operator="equal">
      <formula>"Pending"</formula>
    </cfRule>
  </conditionalFormatting>
  <dataValidations count="1">
    <dataValidation type="list" allowBlank="1" showInputMessage="1" showErrorMessage="1" sqref="E13:E24" xr:uid="{C66952BF-892C-4BBF-AE74-203E8ED76791}">
      <formula1>"Pending, Accepted"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CDDC"/>
  </sheetPr>
  <dimension ref="B1:G15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36" customWidth="1"/>
    <col min="3" max="3" width="20.6328125" customWidth="1"/>
    <col min="4" max="6" width="16" customWidth="1"/>
    <col min="7" max="7" width="22" customWidth="1"/>
  </cols>
  <sheetData>
    <row r="1" spans="2:7" ht="27.75" customHeight="1" x14ac:dyDescent="0.35">
      <c r="B1" s="70" t="s">
        <v>192</v>
      </c>
      <c r="C1" s="70"/>
      <c r="D1" s="70"/>
      <c r="E1" s="70"/>
      <c r="F1" s="70"/>
      <c r="G1" s="70"/>
    </row>
    <row r="2" spans="2:7" ht="6" customHeight="1" x14ac:dyDescent="0.35">
      <c r="B2" s="86"/>
      <c r="C2" s="86"/>
      <c r="D2" s="86"/>
      <c r="E2" s="86"/>
      <c r="F2" s="86"/>
      <c r="G2" s="86"/>
    </row>
    <row r="3" spans="2:7" ht="15.75" customHeight="1" x14ac:dyDescent="0.35">
      <c r="B3" s="222" t="s">
        <v>193</v>
      </c>
      <c r="C3" s="222"/>
      <c r="D3" s="222"/>
      <c r="E3" s="222"/>
      <c r="F3" s="222"/>
      <c r="G3" s="222"/>
    </row>
    <row r="4" spans="2:7" ht="15.75" customHeight="1" x14ac:dyDescent="0.35">
      <c r="B4" s="87" t="s">
        <v>194</v>
      </c>
      <c r="C4" s="82" t="s">
        <v>195</v>
      </c>
      <c r="D4" s="82" t="s">
        <v>330</v>
      </c>
      <c r="E4" s="82" t="s">
        <v>196</v>
      </c>
      <c r="F4" s="82" t="s">
        <v>505</v>
      </c>
      <c r="G4" s="82" t="s">
        <v>197</v>
      </c>
    </row>
    <row r="5" spans="2:7" ht="20" x14ac:dyDescent="0.35">
      <c r="B5" s="46" t="s">
        <v>198</v>
      </c>
      <c r="C5" s="47" t="s">
        <v>199</v>
      </c>
      <c r="D5" s="48">
        <v>5000000</v>
      </c>
      <c r="E5" s="49">
        <v>0.15</v>
      </c>
      <c r="F5" s="50">
        <f>D5*(1+E5)^2</f>
        <v>6612499.9999999991</v>
      </c>
      <c r="G5" s="51"/>
    </row>
    <row r="6" spans="2:7" ht="30" x14ac:dyDescent="0.35">
      <c r="B6" s="46" t="s">
        <v>200</v>
      </c>
      <c r="C6" s="47" t="s">
        <v>201</v>
      </c>
      <c r="D6" s="48">
        <v>500000</v>
      </c>
      <c r="E6" s="49">
        <v>0.2</v>
      </c>
      <c r="F6" s="50">
        <f t="shared" ref="F6:F7" si="0">D6*(1+E6)^2</f>
        <v>720000</v>
      </c>
      <c r="G6" s="51"/>
    </row>
    <row r="7" spans="2:7" ht="30" x14ac:dyDescent="0.35">
      <c r="B7" s="46" t="s">
        <v>202</v>
      </c>
      <c r="C7" s="47" t="s">
        <v>504</v>
      </c>
      <c r="D7" s="48">
        <v>25000</v>
      </c>
      <c r="E7" s="49">
        <v>0.35</v>
      </c>
      <c r="F7" s="50">
        <f t="shared" si="0"/>
        <v>45562.500000000007</v>
      </c>
      <c r="G7" s="51"/>
    </row>
    <row r="8" spans="2:7" ht="20" x14ac:dyDescent="0.35">
      <c r="B8" s="103" t="s">
        <v>503</v>
      </c>
      <c r="C8" s="104" t="s">
        <v>203</v>
      </c>
      <c r="D8" s="185">
        <f>'Financials (Annual)'!F5</f>
        <v>45815.338037704889</v>
      </c>
      <c r="E8" s="105" t="s">
        <v>165</v>
      </c>
      <c r="F8" s="105" t="s">
        <v>165</v>
      </c>
      <c r="G8" s="106"/>
    </row>
    <row r="9" spans="2:7" ht="7.5" customHeight="1" x14ac:dyDescent="0.35"/>
    <row r="10" spans="2:7" ht="15.75" hidden="1" customHeight="1" x14ac:dyDescent="0.35">
      <c r="B10" s="221" t="s">
        <v>204</v>
      </c>
      <c r="C10" s="221"/>
    </row>
    <row r="11" spans="2:7" ht="16.5" hidden="1" customHeight="1" x14ac:dyDescent="0.35">
      <c r="B11" s="1" t="s">
        <v>205</v>
      </c>
      <c r="C11" s="2">
        <v>10000</v>
      </c>
    </row>
    <row r="12" spans="2:7" ht="16.5" hidden="1" customHeight="1" x14ac:dyDescent="0.35">
      <c r="B12" s="1" t="s">
        <v>506</v>
      </c>
      <c r="C12" s="2">
        <v>10</v>
      </c>
    </row>
    <row r="13" spans="2:7" ht="16.5" hidden="1" customHeight="1" x14ac:dyDescent="0.35">
      <c r="B13" s="1" t="s">
        <v>206</v>
      </c>
      <c r="C13" s="2">
        <v>50</v>
      </c>
    </row>
    <row r="14" spans="2:7" ht="16.5" hidden="1" customHeight="1" x14ac:dyDescent="0.35">
      <c r="B14" s="1" t="s">
        <v>331</v>
      </c>
      <c r="C14" s="9">
        <f>C11*C12*C13/1000</f>
        <v>5000</v>
      </c>
    </row>
    <row r="15" spans="2:7" ht="16.5" hidden="1" customHeight="1" x14ac:dyDescent="0.35">
      <c r="B15" s="1" t="s">
        <v>207</v>
      </c>
      <c r="C15" s="52">
        <f>IFERROR(C14/F7,0)</f>
        <v>0.10973936899862824</v>
      </c>
    </row>
  </sheetData>
  <mergeCells count="2">
    <mergeCell ref="B3:G3"/>
    <mergeCell ref="B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CDDC"/>
  </sheetPr>
  <dimension ref="B1:H21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28" customWidth="1"/>
    <col min="3" max="3" width="20" customWidth="1"/>
    <col min="4" max="4" width="16.08984375" bestFit="1" customWidth="1"/>
    <col min="5" max="5" width="14" customWidth="1"/>
    <col min="6" max="8" width="20" customWidth="1"/>
  </cols>
  <sheetData>
    <row r="1" spans="2:8" ht="27.75" customHeight="1" x14ac:dyDescent="0.35">
      <c r="B1" s="70" t="s">
        <v>208</v>
      </c>
      <c r="C1" s="70"/>
      <c r="D1" s="70"/>
      <c r="E1" s="70"/>
      <c r="F1" s="70"/>
      <c r="G1" s="70"/>
      <c r="H1" s="70"/>
    </row>
    <row r="2" spans="2:8" ht="6" customHeight="1" x14ac:dyDescent="0.35">
      <c r="B2" s="86"/>
      <c r="C2" s="86"/>
      <c r="D2" s="86"/>
      <c r="E2" s="86"/>
      <c r="F2" s="86"/>
      <c r="G2" s="86"/>
      <c r="H2" s="86"/>
    </row>
    <row r="3" spans="2:8" ht="15.75" customHeight="1" x14ac:dyDescent="0.35">
      <c r="B3" s="222" t="s">
        <v>209</v>
      </c>
      <c r="C3" s="222"/>
      <c r="D3" s="222"/>
      <c r="E3" s="222"/>
      <c r="F3" s="222"/>
      <c r="G3" s="222"/>
      <c r="H3" s="222"/>
    </row>
    <row r="4" spans="2:8" ht="18" customHeight="1" x14ac:dyDescent="0.35">
      <c r="B4" s="87" t="s">
        <v>210</v>
      </c>
      <c r="C4" s="82" t="s">
        <v>211</v>
      </c>
      <c r="D4" s="82" t="s">
        <v>332</v>
      </c>
      <c r="E4" s="82" t="s">
        <v>13</v>
      </c>
      <c r="F4" s="82" t="s">
        <v>212</v>
      </c>
      <c r="G4" s="82" t="s">
        <v>213</v>
      </c>
      <c r="H4" s="82" t="s">
        <v>214</v>
      </c>
    </row>
    <row r="5" spans="2:8" ht="21.75" customHeight="1" x14ac:dyDescent="0.35">
      <c r="B5" s="107" t="s">
        <v>508</v>
      </c>
      <c r="C5" s="186" t="s">
        <v>215</v>
      </c>
      <c r="D5" s="187">
        <v>500</v>
      </c>
      <c r="E5" s="188" t="s">
        <v>216</v>
      </c>
      <c r="F5" s="189" t="s">
        <v>217</v>
      </c>
      <c r="G5" s="189" t="s">
        <v>218</v>
      </c>
      <c r="H5" s="187">
        <v>5</v>
      </c>
    </row>
    <row r="6" spans="2:8" ht="21.75" customHeight="1" x14ac:dyDescent="0.35">
      <c r="B6" s="53" t="s">
        <v>219</v>
      </c>
      <c r="C6" s="190" t="s">
        <v>220</v>
      </c>
      <c r="D6" s="191">
        <v>2000</v>
      </c>
      <c r="E6" s="192" t="s">
        <v>221</v>
      </c>
      <c r="F6" s="193" t="s">
        <v>217</v>
      </c>
      <c r="G6" s="193" t="s">
        <v>222</v>
      </c>
      <c r="H6" s="191">
        <v>4</v>
      </c>
    </row>
    <row r="7" spans="2:8" ht="21.75" customHeight="1" x14ac:dyDescent="0.35">
      <c r="B7" s="54" t="s">
        <v>223</v>
      </c>
      <c r="C7" s="194" t="s">
        <v>224</v>
      </c>
      <c r="D7" s="195">
        <v>8000</v>
      </c>
      <c r="E7" s="196" t="s">
        <v>146</v>
      </c>
      <c r="F7" s="197" t="s">
        <v>217</v>
      </c>
      <c r="G7" s="197" t="s">
        <v>222</v>
      </c>
      <c r="H7" s="195">
        <v>3</v>
      </c>
    </row>
    <row r="8" spans="2:8" ht="21.75" customHeight="1" x14ac:dyDescent="0.35">
      <c r="B8" s="53" t="s">
        <v>225</v>
      </c>
      <c r="C8" s="190" t="s">
        <v>226</v>
      </c>
      <c r="D8" s="191">
        <v>25000</v>
      </c>
      <c r="E8" s="192" t="s">
        <v>227</v>
      </c>
      <c r="F8" s="193" t="s">
        <v>217</v>
      </c>
      <c r="G8" s="193" t="s">
        <v>222</v>
      </c>
      <c r="H8" s="191">
        <v>2</v>
      </c>
    </row>
    <row r="9" spans="2:8" ht="21.75" customHeight="1" x14ac:dyDescent="0.35">
      <c r="B9" s="54" t="s">
        <v>228</v>
      </c>
      <c r="C9" s="194" t="s">
        <v>229</v>
      </c>
      <c r="D9" s="195">
        <v>150000</v>
      </c>
      <c r="E9" s="196" t="s">
        <v>230</v>
      </c>
      <c r="F9" s="197" t="s">
        <v>231</v>
      </c>
      <c r="G9" s="197" t="s">
        <v>232</v>
      </c>
      <c r="H9" s="195">
        <v>1</v>
      </c>
    </row>
    <row r="10" spans="2:8" ht="7.5" customHeight="1" x14ac:dyDescent="0.35"/>
    <row r="11" spans="2:8" ht="15.75" customHeight="1" x14ac:dyDescent="0.35">
      <c r="B11" s="222" t="s">
        <v>507</v>
      </c>
      <c r="C11" s="222"/>
      <c r="D11" s="222"/>
      <c r="E11" s="222"/>
      <c r="F11" s="222"/>
      <c r="G11" s="222"/>
      <c r="H11" s="222"/>
    </row>
    <row r="12" spans="2:8" ht="15.75" customHeight="1" x14ac:dyDescent="0.35">
      <c r="B12" s="87" t="s">
        <v>233</v>
      </c>
      <c r="C12" s="82" t="s">
        <v>234</v>
      </c>
      <c r="D12" s="82" t="s">
        <v>235</v>
      </c>
      <c r="E12" s="82" t="s">
        <v>236</v>
      </c>
      <c r="F12" s="82" t="s">
        <v>237</v>
      </c>
      <c r="G12" s="82" t="s">
        <v>238</v>
      </c>
    </row>
    <row r="13" spans="2:8" ht="18" customHeight="1" x14ac:dyDescent="0.35">
      <c r="B13" s="20" t="s">
        <v>239</v>
      </c>
      <c r="C13" s="55">
        <v>4</v>
      </c>
      <c r="D13" s="55">
        <v>4</v>
      </c>
      <c r="E13" s="55">
        <v>5</v>
      </c>
      <c r="F13" s="55">
        <v>4</v>
      </c>
      <c r="G13" s="55">
        <v>4</v>
      </c>
    </row>
    <row r="14" spans="2:8" ht="18" customHeight="1" x14ac:dyDescent="0.35">
      <c r="B14" s="26" t="s">
        <v>240</v>
      </c>
      <c r="C14" s="56">
        <v>4</v>
      </c>
      <c r="D14" s="56">
        <v>4</v>
      </c>
      <c r="E14" s="56">
        <v>4</v>
      </c>
      <c r="F14" s="56">
        <v>4</v>
      </c>
      <c r="G14" s="56">
        <v>5</v>
      </c>
    </row>
    <row r="15" spans="2:8" ht="18" customHeight="1" x14ac:dyDescent="0.35">
      <c r="B15" s="20" t="s">
        <v>241</v>
      </c>
      <c r="C15" s="55">
        <v>4</v>
      </c>
      <c r="D15" s="55">
        <v>2</v>
      </c>
      <c r="E15" s="55">
        <v>4</v>
      </c>
      <c r="F15" s="55">
        <v>2</v>
      </c>
      <c r="G15" s="55">
        <v>4</v>
      </c>
    </row>
    <row r="16" spans="2:8" ht="18" customHeight="1" x14ac:dyDescent="0.35">
      <c r="B16" s="26" t="s">
        <v>242</v>
      </c>
      <c r="C16" s="56">
        <v>4</v>
      </c>
      <c r="D16" s="56">
        <v>3</v>
      </c>
      <c r="E16" s="56">
        <v>2</v>
      </c>
      <c r="F16" s="56">
        <v>4</v>
      </c>
      <c r="G16" s="56">
        <v>4</v>
      </c>
    </row>
    <row r="17" spans="2:7" ht="18" customHeight="1" x14ac:dyDescent="0.35">
      <c r="B17" s="20" t="s">
        <v>243</v>
      </c>
      <c r="C17" s="55">
        <v>4</v>
      </c>
      <c r="D17" s="55">
        <v>2</v>
      </c>
      <c r="E17" s="55">
        <v>4</v>
      </c>
      <c r="F17" s="55">
        <v>4</v>
      </c>
      <c r="G17" s="55">
        <v>5</v>
      </c>
    </row>
    <row r="18" spans="2:7" ht="18" customHeight="1" x14ac:dyDescent="0.35">
      <c r="B18" s="26" t="s">
        <v>244</v>
      </c>
      <c r="C18" s="56">
        <v>3</v>
      </c>
      <c r="D18" s="56">
        <v>3</v>
      </c>
      <c r="E18" s="56">
        <v>3</v>
      </c>
      <c r="F18" s="56">
        <v>3</v>
      </c>
      <c r="G18" s="56">
        <v>3</v>
      </c>
    </row>
    <row r="19" spans="2:7" ht="18" customHeight="1" x14ac:dyDescent="0.35">
      <c r="B19" s="20" t="s">
        <v>245</v>
      </c>
      <c r="C19" s="55">
        <v>3</v>
      </c>
      <c r="D19" s="55">
        <v>3</v>
      </c>
      <c r="E19" s="55">
        <v>3</v>
      </c>
      <c r="F19" s="55">
        <v>2</v>
      </c>
      <c r="G19" s="55">
        <v>3</v>
      </c>
    </row>
    <row r="20" spans="2:7" ht="18" customHeight="1" x14ac:dyDescent="0.35">
      <c r="B20" s="26" t="s">
        <v>246</v>
      </c>
      <c r="C20" s="56">
        <v>3</v>
      </c>
      <c r="D20" s="56">
        <v>3</v>
      </c>
      <c r="E20" s="56">
        <v>3</v>
      </c>
      <c r="F20" s="56">
        <v>2</v>
      </c>
      <c r="G20" s="56">
        <v>3</v>
      </c>
    </row>
    <row r="21" spans="2:7" x14ac:dyDescent="0.35">
      <c r="B21" s="103" t="s">
        <v>166</v>
      </c>
      <c r="C21" s="198">
        <f>SUM(C13:C20)</f>
        <v>29</v>
      </c>
      <c r="D21" s="198">
        <f t="shared" ref="D21:G21" si="0">SUM(D13:D20)</f>
        <v>24</v>
      </c>
      <c r="E21" s="198">
        <f t="shared" si="0"/>
        <v>28</v>
      </c>
      <c r="F21" s="198">
        <f t="shared" si="0"/>
        <v>25</v>
      </c>
      <c r="G21" s="198">
        <f t="shared" si="0"/>
        <v>31</v>
      </c>
    </row>
  </sheetData>
  <mergeCells count="2">
    <mergeCell ref="B3:H3"/>
    <mergeCell ref="B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CDDC"/>
  </sheetPr>
  <dimension ref="B1:F3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328125" defaultRowHeight="14.5" x14ac:dyDescent="0.35"/>
  <cols>
    <col min="1" max="1" width="3" customWidth="1"/>
    <col min="2" max="2" width="40.26953125" customWidth="1"/>
    <col min="3" max="3" width="10" customWidth="1"/>
    <col min="4" max="4" width="40" customWidth="1"/>
    <col min="5" max="5" width="18" customWidth="1"/>
    <col min="6" max="6" width="21.7265625" customWidth="1"/>
  </cols>
  <sheetData>
    <row r="1" spans="2:6" ht="27.75" customHeight="1" x14ac:dyDescent="0.35">
      <c r="B1" s="70" t="s">
        <v>247</v>
      </c>
      <c r="C1" s="70"/>
      <c r="D1" s="70"/>
      <c r="E1" s="70"/>
      <c r="F1" s="70"/>
    </row>
    <row r="2" spans="2:6" ht="6" customHeight="1" x14ac:dyDescent="0.35">
      <c r="B2" s="86"/>
      <c r="C2" s="86"/>
      <c r="D2" s="86"/>
      <c r="E2" s="86"/>
      <c r="F2" s="86"/>
    </row>
    <row r="3" spans="2:6" ht="15.75" customHeight="1" x14ac:dyDescent="0.35">
      <c r="B3" s="222" t="s">
        <v>248</v>
      </c>
      <c r="C3" s="222"/>
      <c r="D3" s="222"/>
      <c r="E3" s="222"/>
      <c r="F3" s="222"/>
    </row>
    <row r="4" spans="2:6" ht="15.75" customHeight="1" x14ac:dyDescent="0.35">
      <c r="B4" s="87" t="s">
        <v>249</v>
      </c>
      <c r="C4" s="82" t="s">
        <v>119</v>
      </c>
      <c r="D4" s="82" t="s">
        <v>250</v>
      </c>
      <c r="E4" s="82" t="s">
        <v>251</v>
      </c>
      <c r="F4" s="82" t="s">
        <v>121</v>
      </c>
    </row>
    <row r="5" spans="2:6" ht="21.75" customHeight="1" x14ac:dyDescent="0.35">
      <c r="B5" s="20" t="s">
        <v>252</v>
      </c>
      <c r="C5" s="55">
        <v>3</v>
      </c>
      <c r="D5" s="21" t="s">
        <v>253</v>
      </c>
      <c r="E5" s="39"/>
      <c r="F5" s="25" t="str">
        <f>IF(C5&lt;=2,"⚠️ Flag",IF(C5&lt;=3,"🔶 Review","✅ OK"))</f>
        <v>🔶 Review</v>
      </c>
    </row>
    <row r="6" spans="2:6" ht="21.75" customHeight="1" x14ac:dyDescent="0.35">
      <c r="B6" s="26" t="s">
        <v>254</v>
      </c>
      <c r="C6" s="56">
        <v>3</v>
      </c>
      <c r="D6" s="27" t="s">
        <v>255</v>
      </c>
      <c r="E6" s="42"/>
      <c r="F6" s="25" t="str">
        <f>IF(C6&lt;=2,"⚠️ Flag",IF(C6&lt;=3,"🔶 Review","✅ OK"))</f>
        <v>🔶 Review</v>
      </c>
    </row>
    <row r="7" spans="2:6" ht="21.75" customHeight="1" x14ac:dyDescent="0.35">
      <c r="B7" s="20" t="s">
        <v>256</v>
      </c>
      <c r="C7" s="55">
        <v>3</v>
      </c>
      <c r="D7" s="21" t="s">
        <v>257</v>
      </c>
      <c r="E7" s="39"/>
      <c r="F7" s="25" t="str">
        <f>IF(C7&lt;=2,"⚠️ Flag",IF(C7&lt;=3,"🔶 Review","✅ OK"))</f>
        <v>🔶 Review</v>
      </c>
    </row>
    <row r="8" spans="2:6" ht="21.75" customHeight="1" x14ac:dyDescent="0.35">
      <c r="B8" s="26" t="s">
        <v>258</v>
      </c>
      <c r="C8" s="56">
        <v>3</v>
      </c>
      <c r="D8" s="27" t="s">
        <v>259</v>
      </c>
      <c r="E8" s="42"/>
      <c r="F8" s="25" t="str">
        <f>IF(C8&lt;=2,"⚠️ Flag",IF(C8&lt;=3,"🔶 Review","✅ OK"))</f>
        <v>🔶 Review</v>
      </c>
    </row>
    <row r="9" spans="2:6" ht="21.75" customHeight="1" x14ac:dyDescent="0.35">
      <c r="B9" s="20" t="s">
        <v>260</v>
      </c>
      <c r="C9" s="55">
        <v>3</v>
      </c>
      <c r="D9" s="21" t="s">
        <v>261</v>
      </c>
      <c r="E9" s="39"/>
      <c r="F9" s="25" t="str">
        <f>IF(C9&lt;=2,"⚠️ Flag",IF(C9&lt;=3,"🔶 Review","✅ OK"))</f>
        <v>🔶 Review</v>
      </c>
    </row>
    <row r="10" spans="2:6" ht="16.5" customHeight="1" x14ac:dyDescent="0.35">
      <c r="B10" s="108" t="s">
        <v>262</v>
      </c>
      <c r="C10" s="109">
        <f>AVERAGE(C5:C9)</f>
        <v>3</v>
      </c>
      <c r="D10" s="110"/>
      <c r="E10" s="110"/>
      <c r="F10" s="110"/>
    </row>
    <row r="12" spans="2:6" ht="15.75" customHeight="1" x14ac:dyDescent="0.35">
      <c r="B12" s="222" t="s">
        <v>263</v>
      </c>
      <c r="C12" s="222"/>
      <c r="D12" s="222"/>
      <c r="E12" s="222"/>
      <c r="F12" s="222"/>
    </row>
    <row r="13" spans="2:6" ht="15.75" customHeight="1" x14ac:dyDescent="0.35">
      <c r="B13" s="87" t="s">
        <v>249</v>
      </c>
      <c r="C13" s="82" t="s">
        <v>119</v>
      </c>
      <c r="D13" s="82" t="s">
        <v>250</v>
      </c>
      <c r="E13" s="82" t="s">
        <v>251</v>
      </c>
      <c r="F13" s="82" t="s">
        <v>121</v>
      </c>
    </row>
    <row r="14" spans="2:6" ht="21.75" customHeight="1" x14ac:dyDescent="0.35">
      <c r="B14" s="20" t="s">
        <v>264</v>
      </c>
      <c r="C14" s="55">
        <v>3</v>
      </c>
      <c r="D14" s="21" t="s">
        <v>265</v>
      </c>
      <c r="E14" s="39"/>
      <c r="F14" s="25" t="str">
        <f>IF(C14&lt;=2,"⚠️ Flag",IF(C14&lt;=3,"🔶 Review","✅ OK"))</f>
        <v>🔶 Review</v>
      </c>
    </row>
    <row r="15" spans="2:6" ht="21.75" customHeight="1" x14ac:dyDescent="0.35">
      <c r="B15" s="26" t="s">
        <v>266</v>
      </c>
      <c r="C15" s="56">
        <v>3</v>
      </c>
      <c r="D15" s="27" t="s">
        <v>267</v>
      </c>
      <c r="E15" s="42"/>
      <c r="F15" s="25" t="str">
        <f>IF(C15&lt;=2,"⚠️ Flag",IF(C15&lt;=3,"🔶 Review","✅ OK"))</f>
        <v>🔶 Review</v>
      </c>
    </row>
    <row r="16" spans="2:6" ht="21.75" customHeight="1" x14ac:dyDescent="0.35">
      <c r="B16" s="20" t="s">
        <v>268</v>
      </c>
      <c r="C16" s="55">
        <v>3</v>
      </c>
      <c r="D16" s="21" t="s">
        <v>269</v>
      </c>
      <c r="E16" s="39"/>
      <c r="F16" s="25" t="str">
        <f>IF(C16&lt;=2,"⚠️ Flag",IF(C16&lt;=3,"🔶 Review","✅ OK"))</f>
        <v>🔶 Review</v>
      </c>
    </row>
    <row r="17" spans="2:6" ht="21.75" customHeight="1" x14ac:dyDescent="0.35">
      <c r="B17" s="26" t="s">
        <v>270</v>
      </c>
      <c r="C17" s="56">
        <v>3</v>
      </c>
      <c r="D17" s="27" t="s">
        <v>271</v>
      </c>
      <c r="E17" s="42"/>
      <c r="F17" s="25" t="str">
        <f>IF(C17&lt;=2,"⚠️ Flag",IF(C17&lt;=3,"🔶 Review","✅ OK"))</f>
        <v>🔶 Review</v>
      </c>
    </row>
    <row r="18" spans="2:6" ht="16.5" customHeight="1" x14ac:dyDescent="0.35">
      <c r="B18" s="108" t="s">
        <v>272</v>
      </c>
      <c r="C18" s="109">
        <f>AVERAGE(C14:C17)</f>
        <v>3</v>
      </c>
      <c r="D18" s="110"/>
      <c r="E18" s="110"/>
      <c r="F18" s="110"/>
    </row>
    <row r="20" spans="2:6" ht="15.75" customHeight="1" x14ac:dyDescent="0.35">
      <c r="B20" s="222" t="s">
        <v>273</v>
      </c>
      <c r="C20" s="222"/>
      <c r="D20" s="222"/>
      <c r="E20" s="222"/>
      <c r="F20" s="222"/>
    </row>
    <row r="21" spans="2:6" ht="15.75" customHeight="1" x14ac:dyDescent="0.35">
      <c r="B21" s="87" t="s">
        <v>249</v>
      </c>
      <c r="C21" s="82" t="s">
        <v>119</v>
      </c>
      <c r="D21" s="82" t="s">
        <v>250</v>
      </c>
      <c r="E21" s="82" t="s">
        <v>251</v>
      </c>
      <c r="F21" s="82" t="s">
        <v>121</v>
      </c>
    </row>
    <row r="22" spans="2:6" ht="21.75" customHeight="1" x14ac:dyDescent="0.35">
      <c r="B22" s="20" t="s">
        <v>274</v>
      </c>
      <c r="C22" s="55">
        <v>3</v>
      </c>
      <c r="D22" s="21" t="s">
        <v>275</v>
      </c>
      <c r="E22" s="39"/>
      <c r="F22" s="25" t="str">
        <f>IF(C22&lt;=2,"⚠️ Flag",IF(C22&lt;=3,"🔶 Review","✅ OK"))</f>
        <v>🔶 Review</v>
      </c>
    </row>
    <row r="23" spans="2:6" ht="21.75" customHeight="1" x14ac:dyDescent="0.35">
      <c r="B23" s="26" t="s">
        <v>276</v>
      </c>
      <c r="C23" s="56">
        <v>3</v>
      </c>
      <c r="D23" s="27" t="s">
        <v>277</v>
      </c>
      <c r="E23" s="42"/>
      <c r="F23" s="25" t="str">
        <f>IF(C23&lt;=2,"⚠️ Flag",IF(C23&lt;=3,"🔶 Review","✅ OK"))</f>
        <v>🔶 Review</v>
      </c>
    </row>
    <row r="24" spans="2:6" ht="21.75" customHeight="1" x14ac:dyDescent="0.35">
      <c r="B24" s="20" t="s">
        <v>278</v>
      </c>
      <c r="C24" s="55">
        <v>3</v>
      </c>
      <c r="D24" s="21" t="s">
        <v>279</v>
      </c>
      <c r="E24" s="39"/>
      <c r="F24" s="25" t="str">
        <f>IF(C24&lt;=2,"⚠️ Flag",IF(C24&lt;=3,"🔶 Review","✅ OK"))</f>
        <v>🔶 Review</v>
      </c>
    </row>
    <row r="25" spans="2:6" ht="21.75" customHeight="1" x14ac:dyDescent="0.35">
      <c r="B25" s="26" t="s">
        <v>280</v>
      </c>
      <c r="C25" s="56">
        <v>3</v>
      </c>
      <c r="D25" s="27" t="s">
        <v>281</v>
      </c>
      <c r="E25" s="42"/>
      <c r="F25" s="25" t="str">
        <f>IF(C25&lt;=2,"⚠️ Flag",IF(C25&lt;=3,"🔶 Review","✅ OK"))</f>
        <v>🔶 Review</v>
      </c>
    </row>
    <row r="26" spans="2:6" ht="21.75" customHeight="1" x14ac:dyDescent="0.35">
      <c r="B26" s="20" t="s">
        <v>282</v>
      </c>
      <c r="C26" s="55">
        <v>3</v>
      </c>
      <c r="D26" s="21" t="s">
        <v>283</v>
      </c>
      <c r="E26" s="39"/>
      <c r="F26" s="25" t="str">
        <f>IF(C26&lt;=2,"⚠️ Flag",IF(C26&lt;=3,"🔶 Review","✅ OK"))</f>
        <v>🔶 Review</v>
      </c>
    </row>
    <row r="27" spans="2:6" ht="16.5" customHeight="1" x14ac:dyDescent="0.35">
      <c r="B27" s="108" t="s">
        <v>284</v>
      </c>
      <c r="C27" s="109">
        <f>AVERAGE(C22:C26)</f>
        <v>3</v>
      </c>
      <c r="D27" s="110"/>
      <c r="E27" s="110"/>
      <c r="F27" s="110"/>
    </row>
    <row r="29" spans="2:6" ht="15.75" customHeight="1" x14ac:dyDescent="0.35">
      <c r="B29" s="222" t="s">
        <v>285</v>
      </c>
      <c r="C29" s="222"/>
      <c r="D29" s="222"/>
      <c r="E29" s="222"/>
      <c r="F29" s="222"/>
    </row>
    <row r="30" spans="2:6" ht="15.75" customHeight="1" x14ac:dyDescent="0.35">
      <c r="B30" s="87" t="s">
        <v>249</v>
      </c>
      <c r="C30" s="82" t="s">
        <v>119</v>
      </c>
      <c r="D30" s="82" t="s">
        <v>250</v>
      </c>
      <c r="E30" s="82" t="s">
        <v>251</v>
      </c>
      <c r="F30" s="82" t="s">
        <v>121</v>
      </c>
    </row>
    <row r="31" spans="2:6" ht="21.75" customHeight="1" x14ac:dyDescent="0.35">
      <c r="B31" s="20" t="s">
        <v>286</v>
      </c>
      <c r="C31" s="55">
        <v>3</v>
      </c>
      <c r="D31" s="21" t="s">
        <v>287</v>
      </c>
      <c r="E31" s="39"/>
      <c r="F31" s="25" t="str">
        <f>IF(C31&lt;=2,"⚠️ Flag",IF(C31&lt;=3,"🔶 Review","✅ OK"))</f>
        <v>🔶 Review</v>
      </c>
    </row>
    <row r="32" spans="2:6" ht="21.75" customHeight="1" x14ac:dyDescent="0.35">
      <c r="B32" s="26" t="s">
        <v>288</v>
      </c>
      <c r="C32" s="56">
        <v>3</v>
      </c>
      <c r="D32" s="27" t="s">
        <v>289</v>
      </c>
      <c r="E32" s="42"/>
      <c r="F32" s="25" t="str">
        <f>IF(C32&lt;=2,"⚠️ Flag",IF(C32&lt;=3,"🔶 Review","✅ OK"))</f>
        <v>🔶 Review</v>
      </c>
    </row>
    <row r="33" spans="2:6" ht="21.75" customHeight="1" x14ac:dyDescent="0.35">
      <c r="B33" s="20" t="s">
        <v>290</v>
      </c>
      <c r="C33" s="55">
        <v>3</v>
      </c>
      <c r="D33" s="21" t="s">
        <v>291</v>
      </c>
      <c r="E33" s="39"/>
      <c r="F33" s="25" t="str">
        <f>IF(C33&lt;=2,"⚠️ Flag",IF(C33&lt;=3,"🔶 Review","✅ OK"))</f>
        <v>🔶 Review</v>
      </c>
    </row>
    <row r="34" spans="2:6" ht="21.75" customHeight="1" x14ac:dyDescent="0.35">
      <c r="B34" s="26" t="s">
        <v>292</v>
      </c>
      <c r="C34" s="56">
        <v>3</v>
      </c>
      <c r="D34" s="27" t="s">
        <v>293</v>
      </c>
      <c r="E34" s="42"/>
      <c r="F34" s="25" t="str">
        <f>IF(C34&lt;=2,"⚠️ Flag",IF(C34&lt;=3,"🔶 Review","✅ OK"))</f>
        <v>🔶 Review</v>
      </c>
    </row>
    <row r="35" spans="2:6" ht="21.75" customHeight="1" x14ac:dyDescent="0.35">
      <c r="B35" s="20" t="s">
        <v>294</v>
      </c>
      <c r="C35" s="55">
        <v>3</v>
      </c>
      <c r="D35" s="21" t="s">
        <v>295</v>
      </c>
      <c r="E35" s="39"/>
      <c r="F35" s="25" t="str">
        <f>IF(C35&lt;=2,"⚠️ Flag",IF(C35&lt;=3,"🔶 Review","✅ OK"))</f>
        <v>🔶 Review</v>
      </c>
    </row>
    <row r="36" spans="2:6" ht="16.5" customHeight="1" x14ac:dyDescent="0.35">
      <c r="B36" s="108" t="s">
        <v>509</v>
      </c>
      <c r="C36" s="109">
        <f>AVERAGE(C31:C35)</f>
        <v>3</v>
      </c>
      <c r="D36" s="110"/>
      <c r="E36" s="110"/>
      <c r="F36" s="110"/>
    </row>
    <row r="38" spans="2:6" ht="19.5" customHeight="1" x14ac:dyDescent="0.35">
      <c r="B38" s="227" t="s">
        <v>296</v>
      </c>
      <c r="C38" s="227"/>
      <c r="D38" s="227"/>
      <c r="E38" s="227"/>
      <c r="F38" s="51" t="s">
        <v>297</v>
      </c>
    </row>
  </sheetData>
  <mergeCells count="5">
    <mergeCell ref="B29:F29"/>
    <mergeCell ref="B38:E38"/>
    <mergeCell ref="B3:F3"/>
    <mergeCell ref="B12:F12"/>
    <mergeCell ref="B20:F20"/>
  </mergeCells>
  <conditionalFormatting sqref="F5:F9">
    <cfRule type="cellIs" dxfId="11" priority="10" operator="equal">
      <formula>"⚠️ Flag"</formula>
    </cfRule>
    <cfRule type="cellIs" dxfId="10" priority="11" operator="equal">
      <formula>"✅ OK"</formula>
    </cfRule>
    <cfRule type="cellIs" dxfId="9" priority="12" operator="equal">
      <formula>"🔶 Review"</formula>
    </cfRule>
  </conditionalFormatting>
  <conditionalFormatting sqref="F14:F17">
    <cfRule type="cellIs" dxfId="8" priority="7" operator="equal">
      <formula>"⚠️ Flag"</formula>
    </cfRule>
    <cfRule type="cellIs" dxfId="7" priority="8" operator="equal">
      <formula>"✅ OK"</formula>
    </cfRule>
    <cfRule type="cellIs" dxfId="6" priority="9" operator="equal">
      <formula>"🔶 Review"</formula>
    </cfRule>
  </conditionalFormatting>
  <conditionalFormatting sqref="F22:F26">
    <cfRule type="cellIs" dxfId="5" priority="4" operator="equal">
      <formula>"⚠️ Flag"</formula>
    </cfRule>
    <cfRule type="cellIs" dxfId="4" priority="5" operator="equal">
      <formula>"✅ OK"</formula>
    </cfRule>
    <cfRule type="cellIs" dxfId="3" priority="6" operator="equal">
      <formula>"🔶 Review"</formula>
    </cfRule>
  </conditionalFormatting>
  <conditionalFormatting sqref="F31:F35">
    <cfRule type="cellIs" dxfId="2" priority="1" operator="equal">
      <formula>"⚠️ Flag"</formula>
    </cfRule>
    <cfRule type="cellIs" dxfId="1" priority="2" operator="equal">
      <formula>"✅ OK"</formula>
    </cfRule>
    <cfRule type="cellIs" dxfId="0" priority="3" operator="equal">
      <formula>"🔶 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Financials (Annual)</vt:lpstr>
      <vt:lpstr>Revenue (Monthly)</vt:lpstr>
      <vt:lpstr>Cohort Analysis (Y2026)</vt:lpstr>
      <vt:lpstr>Valuation</vt:lpstr>
      <vt:lpstr>Return Modelling</vt:lpstr>
      <vt:lpstr>Credit &amp; Risk</vt:lpstr>
      <vt:lpstr>Deal Structuring</vt:lpstr>
      <vt:lpstr>Market Sizing</vt:lpstr>
      <vt:lpstr>Competitive</vt:lpstr>
      <vt:lpstr>Deal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Bryan Brkat</cp:lastModifiedBy>
  <cp:revision>0</cp:revision>
  <dcterms:created xsi:type="dcterms:W3CDTF">2026-03-25T05:57:00Z</dcterms:created>
  <dcterms:modified xsi:type="dcterms:W3CDTF">2026-03-26T03:34:14Z</dcterms:modified>
  <dc:language>en-US</dc:language>
</cp:coreProperties>
</file>