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05_Hustle\03_Investments\01_US Tech\01_APPL\"/>
    </mc:Choice>
  </mc:AlternateContent>
  <xr:revisionPtr revIDLastSave="0" documentId="13_ncr:1_{C6CF630E-94CF-45F7-B16B-DC504EDC20DC}" xr6:coauthVersionLast="47" xr6:coauthVersionMax="47" xr10:uidLastSave="{00000000-0000-0000-0000-000000000000}"/>
  <bookViews>
    <workbookView xWindow="-120" yWindow="-16320" windowWidth="29040" windowHeight="16440" tabRatio="500" xr2:uid="{00000000-000D-0000-FFFF-FFFF00000000}"/>
  </bookViews>
  <sheets>
    <sheet name="Cover" sheetId="10" r:id="rId1"/>
    <sheet name="Assumptions &amp; Drivers" sheetId="8" r:id="rId2"/>
    <sheet name="Raw (Income Statement)" sheetId="5" state="hidden" r:id="rId3"/>
    <sheet name="Income Statement" sheetId="2" r:id="rId4"/>
    <sheet name="Cash Flow Statement" sheetId="1" r:id="rId5"/>
    <sheet name="Raw (CF Statement)" sheetId="6" state="hidden" r:id="rId6"/>
    <sheet name="Balance Sheet" sheetId="3" r:id="rId7"/>
    <sheet name="Raw (Balance Sheet)" sheetId="7" state="hidden" r:id="rId8"/>
    <sheet name="Financial Summary" sheetId="4" r:id="rId9"/>
    <sheet name="DCF" sheetId="11" r:id="rId10"/>
    <sheet name="Sensitivity Analysis" sheetId="12" r:id="rId11"/>
    <sheet name="Scenario Analysis" sheetId="13" r:id="rId12"/>
    <sheet name="Stress Testing" sheetId="14" state="hidden" r:id="rId13"/>
  </sheets>
  <externalReferences>
    <externalReference r:id="rId14"/>
  </externalReferenc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" i="2" l="1"/>
  <c r="I28" i="5"/>
  <c r="B33" i="10"/>
  <c r="B32" i="10"/>
  <c r="B31" i="10"/>
  <c r="B30" i="10"/>
  <c r="B29" i="10"/>
  <c r="B28" i="10"/>
  <c r="B27" i="10"/>
  <c r="B26" i="10"/>
  <c r="C26" i="10"/>
  <c r="D61" i="8"/>
  <c r="D60" i="8"/>
  <c r="C26" i="13"/>
  <c r="C25" i="13"/>
  <c r="C24" i="13"/>
  <c r="C23" i="13"/>
  <c r="C22" i="13"/>
  <c r="C21" i="13"/>
  <c r="C20" i="13"/>
  <c r="C19" i="13"/>
  <c r="C18" i="13"/>
  <c r="B13" i="13"/>
  <c r="B12" i="13"/>
  <c r="B10" i="13"/>
  <c r="B9" i="13"/>
  <c r="B8" i="13"/>
  <c r="B7" i="13"/>
  <c r="B24" i="13"/>
  <c r="B21" i="13"/>
  <c r="M11" i="8"/>
  <c r="H46" i="1"/>
  <c r="I40" i="1"/>
  <c r="J40" i="1"/>
  <c r="K40" i="1"/>
  <c r="L40" i="1"/>
  <c r="H40" i="1"/>
  <c r="I27" i="1"/>
  <c r="J27" i="1"/>
  <c r="K27" i="1"/>
  <c r="L27" i="1"/>
  <c r="I31" i="1"/>
  <c r="J31" i="1"/>
  <c r="K31" i="1"/>
  <c r="L31" i="1"/>
  <c r="H31" i="1"/>
  <c r="H27" i="1"/>
  <c r="H39" i="3"/>
  <c r="H43" i="3" s="1"/>
  <c r="C19" i="3"/>
  <c r="H47" i="3"/>
  <c r="H38" i="3"/>
  <c r="H30" i="3"/>
  <c r="H16" i="3"/>
  <c r="H7" i="3"/>
  <c r="H4" i="3"/>
  <c r="I4" i="3" s="1"/>
  <c r="J4" i="3" s="1"/>
  <c r="K4" i="3" s="1"/>
  <c r="L4" i="3" s="1"/>
  <c r="H51" i="1"/>
  <c r="H45" i="1"/>
  <c r="H34" i="1"/>
  <c r="H24" i="1"/>
  <c r="H6" i="1"/>
  <c r="H4" i="1"/>
  <c r="I4" i="1" s="1"/>
  <c r="J4" i="1" s="1"/>
  <c r="K4" i="1" s="1"/>
  <c r="L4" i="1" s="1"/>
  <c r="D19" i="8"/>
  <c r="F25" i="12"/>
  <c r="E25" i="12"/>
  <c r="D25" i="12"/>
  <c r="C25" i="12"/>
  <c r="B25" i="12"/>
  <c r="F24" i="12"/>
  <c r="E24" i="12"/>
  <c r="D24" i="12"/>
  <c r="C24" i="12"/>
  <c r="B24" i="12"/>
  <c r="F23" i="12"/>
  <c r="E23" i="12"/>
  <c r="D23" i="12"/>
  <c r="C23" i="12"/>
  <c r="B23" i="12"/>
  <c r="F22" i="12"/>
  <c r="E22" i="12"/>
  <c r="D22" i="12"/>
  <c r="C22" i="12"/>
  <c r="B22" i="12"/>
  <c r="F21" i="12"/>
  <c r="E21" i="12"/>
  <c r="D21" i="12"/>
  <c r="C21" i="12"/>
  <c r="B21" i="12"/>
  <c r="F20" i="12"/>
  <c r="E20" i="12"/>
  <c r="D20" i="12"/>
  <c r="C20" i="12"/>
  <c r="B20" i="12"/>
  <c r="F19" i="12"/>
  <c r="E19" i="12"/>
  <c r="D19" i="12"/>
  <c r="C19" i="12"/>
  <c r="B19" i="12"/>
  <c r="F18" i="12"/>
  <c r="E18" i="12"/>
  <c r="D18" i="12"/>
  <c r="C18" i="12"/>
  <c r="B18" i="12"/>
  <c r="F17" i="12"/>
  <c r="E17" i="12"/>
  <c r="D17" i="12"/>
  <c r="C17" i="12"/>
  <c r="B17" i="12"/>
  <c r="F16" i="12"/>
  <c r="E16" i="12"/>
  <c r="D16" i="12"/>
  <c r="C16" i="12"/>
  <c r="B16" i="12"/>
  <c r="F15" i="12"/>
  <c r="E15" i="12"/>
  <c r="D15" i="12"/>
  <c r="C15" i="12"/>
  <c r="B15" i="12"/>
  <c r="N11" i="8"/>
  <c r="N10" i="8"/>
  <c r="M10" i="8"/>
  <c r="M8" i="8"/>
  <c r="M7" i="8"/>
  <c r="N7" i="8"/>
  <c r="B13" i="11"/>
  <c r="C13" i="11" s="1"/>
  <c r="D13" i="11" s="1"/>
  <c r="E13" i="11" s="1"/>
  <c r="F13" i="11" s="1"/>
  <c r="B12" i="11"/>
  <c r="B39" i="11"/>
  <c r="B42" i="11"/>
  <c r="B9" i="11"/>
  <c r="B8" i="11"/>
  <c r="B7" i="11"/>
  <c r="B11" i="11" s="1"/>
  <c r="B5" i="11"/>
  <c r="C3" i="11"/>
  <c r="D3" i="11"/>
  <c r="E3" i="11"/>
  <c r="F3" i="11"/>
  <c r="G3" i="11"/>
  <c r="B3" i="11"/>
  <c r="I4" i="2"/>
  <c r="J4" i="2" s="1"/>
  <c r="K4" i="2" s="1"/>
  <c r="L4" i="2" s="1"/>
  <c r="H4" i="2"/>
  <c r="G4" i="2"/>
  <c r="F4" i="2"/>
  <c r="E4" i="2"/>
  <c r="D4" i="2"/>
  <c r="C4" i="2"/>
  <c r="F11" i="14"/>
  <c r="D11" i="14"/>
  <c r="E11" i="14" s="1"/>
  <c r="F10" i="14"/>
  <c r="D10" i="14"/>
  <c r="C10" i="14"/>
  <c r="F9" i="14"/>
  <c r="D9" i="14"/>
  <c r="C9" i="14"/>
  <c r="F8" i="14"/>
  <c r="D8" i="14"/>
  <c r="E8" i="14" s="1"/>
  <c r="F7" i="14"/>
  <c r="D7" i="14"/>
  <c r="E7" i="14" s="1"/>
  <c r="F6" i="14"/>
  <c r="D6" i="14"/>
  <c r="C6" i="14"/>
  <c r="F5" i="14"/>
  <c r="D5" i="14"/>
  <c r="C5" i="14"/>
  <c r="D50" i="2"/>
  <c r="E50" i="2"/>
  <c r="F50" i="2"/>
  <c r="G50" i="2"/>
  <c r="C50" i="2"/>
  <c r="H38" i="2"/>
  <c r="I38" i="2"/>
  <c r="I42" i="2" s="1"/>
  <c r="J38" i="2"/>
  <c r="K38" i="2"/>
  <c r="L38" i="2"/>
  <c r="H39" i="2"/>
  <c r="I39" i="2"/>
  <c r="J39" i="2"/>
  <c r="K39" i="2"/>
  <c r="L39" i="2"/>
  <c r="E33" i="8"/>
  <c r="F33" i="8" s="1"/>
  <c r="G33" i="8" s="1"/>
  <c r="H33" i="8" s="1"/>
  <c r="I33" i="8" s="1"/>
  <c r="L41" i="1" s="1"/>
  <c r="L43" i="1" s="1"/>
  <c r="H52" i="2"/>
  <c r="H46" i="2"/>
  <c r="H37" i="2"/>
  <c r="H24" i="2"/>
  <c r="H13" i="2"/>
  <c r="H6" i="2"/>
  <c r="D42" i="8"/>
  <c r="B18" i="11" s="1"/>
  <c r="D39" i="8"/>
  <c r="B17" i="11" s="1"/>
  <c r="J1" i="1"/>
  <c r="D52" i="1"/>
  <c r="E52" i="1"/>
  <c r="F52" i="1"/>
  <c r="G52" i="1"/>
  <c r="C52" i="1"/>
  <c r="D58" i="3"/>
  <c r="E58" i="3"/>
  <c r="F58" i="3"/>
  <c r="C50" i="3"/>
  <c r="C49" i="3"/>
  <c r="D24" i="3"/>
  <c r="E24" i="3"/>
  <c r="F24" i="3"/>
  <c r="G24" i="3"/>
  <c r="C24" i="3"/>
  <c r="D42" i="3"/>
  <c r="E42" i="3"/>
  <c r="E43" i="3" s="1"/>
  <c r="F42" i="3"/>
  <c r="G42" i="3"/>
  <c r="G43" i="3" s="1"/>
  <c r="C42" i="3"/>
  <c r="C43" i="3" s="1"/>
  <c r="D49" i="3"/>
  <c r="E49" i="3"/>
  <c r="F49" i="3"/>
  <c r="G49" i="3"/>
  <c r="D50" i="3"/>
  <c r="D53" i="3" s="1"/>
  <c r="D18" i="4" s="1"/>
  <c r="E50" i="3"/>
  <c r="F50" i="3"/>
  <c r="G50" i="3"/>
  <c r="E53" i="3"/>
  <c r="E18" i="4" s="1"/>
  <c r="D48" i="3"/>
  <c r="E48" i="3"/>
  <c r="F48" i="3"/>
  <c r="G48" i="3"/>
  <c r="F53" i="3"/>
  <c r="F18" i="4" s="1"/>
  <c r="G53" i="3"/>
  <c r="G18" i="4" s="1"/>
  <c r="C48" i="3"/>
  <c r="D39" i="3"/>
  <c r="E39" i="3"/>
  <c r="F39" i="3"/>
  <c r="G39" i="3"/>
  <c r="C39" i="3"/>
  <c r="D31" i="3"/>
  <c r="E31" i="3"/>
  <c r="F31" i="3"/>
  <c r="G31" i="3"/>
  <c r="D32" i="3"/>
  <c r="E32" i="3"/>
  <c r="F32" i="3"/>
  <c r="G32" i="3"/>
  <c r="D33" i="3"/>
  <c r="E33" i="3"/>
  <c r="F33" i="3"/>
  <c r="G33" i="3"/>
  <c r="G36" i="3" s="1"/>
  <c r="D34" i="3"/>
  <c r="E34" i="3"/>
  <c r="F34" i="3"/>
  <c r="G34" i="3"/>
  <c r="D35" i="3"/>
  <c r="E35" i="3"/>
  <c r="F35" i="3"/>
  <c r="G35" i="3"/>
  <c r="C33" i="3"/>
  <c r="C32" i="3"/>
  <c r="C35" i="3"/>
  <c r="C34" i="3"/>
  <c r="C31" i="3"/>
  <c r="D11" i="3"/>
  <c r="E11" i="3"/>
  <c r="F11" i="3"/>
  <c r="G11" i="3"/>
  <c r="C11" i="3"/>
  <c r="N16" i="7"/>
  <c r="D8" i="3"/>
  <c r="E8" i="3"/>
  <c r="F8" i="3"/>
  <c r="G8" i="3"/>
  <c r="D9" i="3"/>
  <c r="E9" i="3"/>
  <c r="F9" i="3"/>
  <c r="G9" i="3"/>
  <c r="D10" i="3"/>
  <c r="E10" i="3"/>
  <c r="F10" i="3"/>
  <c r="G10" i="3"/>
  <c r="G14" i="3" s="1"/>
  <c r="G14" i="4" s="1"/>
  <c r="D12" i="3"/>
  <c r="E12" i="3"/>
  <c r="F12" i="3"/>
  <c r="G12" i="3"/>
  <c r="D13" i="3"/>
  <c r="E13" i="3"/>
  <c r="F13" i="3"/>
  <c r="G13" i="3"/>
  <c r="D23" i="3"/>
  <c r="E23" i="3"/>
  <c r="F23" i="3"/>
  <c r="G23" i="3"/>
  <c r="C23" i="3"/>
  <c r="G21" i="3"/>
  <c r="F21" i="3"/>
  <c r="E21" i="3"/>
  <c r="D21" i="3"/>
  <c r="C21" i="3"/>
  <c r="G20" i="3"/>
  <c r="F20" i="3"/>
  <c r="E20" i="3"/>
  <c r="D20" i="3"/>
  <c r="C20" i="3"/>
  <c r="D17" i="3"/>
  <c r="E17" i="3"/>
  <c r="F17" i="3"/>
  <c r="G17" i="3"/>
  <c r="D18" i="3"/>
  <c r="E18" i="3"/>
  <c r="F18" i="3"/>
  <c r="G18" i="3"/>
  <c r="D19" i="3"/>
  <c r="D25" i="3" s="1"/>
  <c r="E19" i="3"/>
  <c r="E25" i="3" s="1"/>
  <c r="F19" i="3"/>
  <c r="G19" i="3"/>
  <c r="G25" i="3" s="1"/>
  <c r="J20" i="7"/>
  <c r="C18" i="3"/>
  <c r="C17" i="3"/>
  <c r="C13" i="3"/>
  <c r="C12" i="3"/>
  <c r="C10" i="3"/>
  <c r="C9" i="3"/>
  <c r="C8" i="3"/>
  <c r="N133" i="7"/>
  <c r="M133" i="7"/>
  <c r="L133" i="7"/>
  <c r="K133" i="7"/>
  <c r="J133" i="7"/>
  <c r="I133" i="7"/>
  <c r="N132" i="7"/>
  <c r="M132" i="7"/>
  <c r="L132" i="7"/>
  <c r="K132" i="7"/>
  <c r="J132" i="7"/>
  <c r="I132" i="7"/>
  <c r="N131" i="7"/>
  <c r="M131" i="7"/>
  <c r="L131" i="7"/>
  <c r="K131" i="7"/>
  <c r="J131" i="7"/>
  <c r="I131" i="7"/>
  <c r="N130" i="7"/>
  <c r="M130" i="7"/>
  <c r="L130" i="7"/>
  <c r="K130" i="7"/>
  <c r="J130" i="7"/>
  <c r="I130" i="7"/>
  <c r="N129" i="7"/>
  <c r="M129" i="7"/>
  <c r="L129" i="7"/>
  <c r="K129" i="7"/>
  <c r="J129" i="7"/>
  <c r="I129" i="7"/>
  <c r="N128" i="7"/>
  <c r="M128" i="7"/>
  <c r="L128" i="7"/>
  <c r="K128" i="7"/>
  <c r="J128" i="7"/>
  <c r="I128" i="7"/>
  <c r="N127" i="7"/>
  <c r="M127" i="7"/>
  <c r="L127" i="7"/>
  <c r="K127" i="7"/>
  <c r="J127" i="7"/>
  <c r="I127" i="7"/>
  <c r="N126" i="7"/>
  <c r="M126" i="7"/>
  <c r="L126" i="7"/>
  <c r="K126" i="7"/>
  <c r="J126" i="7"/>
  <c r="I126" i="7"/>
  <c r="N125" i="7"/>
  <c r="M125" i="7"/>
  <c r="L125" i="7"/>
  <c r="K125" i="7"/>
  <c r="J125" i="7"/>
  <c r="I125" i="7"/>
  <c r="N124" i="7"/>
  <c r="M124" i="7"/>
  <c r="L124" i="7"/>
  <c r="K124" i="7"/>
  <c r="J124" i="7"/>
  <c r="I124" i="7"/>
  <c r="N123" i="7"/>
  <c r="M123" i="7"/>
  <c r="L123" i="7"/>
  <c r="K123" i="7"/>
  <c r="J123" i="7"/>
  <c r="I123" i="7"/>
  <c r="N122" i="7"/>
  <c r="M122" i="7"/>
  <c r="L122" i="7"/>
  <c r="K122" i="7"/>
  <c r="J122" i="7"/>
  <c r="I122" i="7"/>
  <c r="N121" i="7"/>
  <c r="M121" i="7"/>
  <c r="L121" i="7"/>
  <c r="K121" i="7"/>
  <c r="J121" i="7"/>
  <c r="I121" i="7"/>
  <c r="N120" i="7"/>
  <c r="M120" i="7"/>
  <c r="L120" i="7"/>
  <c r="K120" i="7"/>
  <c r="J120" i="7"/>
  <c r="I120" i="7"/>
  <c r="N119" i="7"/>
  <c r="M119" i="7"/>
  <c r="L119" i="7"/>
  <c r="K119" i="7"/>
  <c r="J119" i="7"/>
  <c r="I119" i="7"/>
  <c r="N118" i="7"/>
  <c r="M118" i="7"/>
  <c r="L118" i="7"/>
  <c r="K118" i="7"/>
  <c r="J118" i="7"/>
  <c r="I118" i="7"/>
  <c r="N117" i="7"/>
  <c r="M117" i="7"/>
  <c r="L117" i="7"/>
  <c r="K117" i="7"/>
  <c r="J117" i="7"/>
  <c r="I117" i="7"/>
  <c r="N116" i="7"/>
  <c r="M116" i="7"/>
  <c r="L116" i="7"/>
  <c r="K116" i="7"/>
  <c r="J116" i="7"/>
  <c r="I116" i="7"/>
  <c r="N115" i="7"/>
  <c r="M115" i="7"/>
  <c r="L115" i="7"/>
  <c r="K115" i="7"/>
  <c r="J115" i="7"/>
  <c r="I115" i="7"/>
  <c r="N114" i="7"/>
  <c r="M114" i="7"/>
  <c r="L114" i="7"/>
  <c r="K114" i="7"/>
  <c r="J114" i="7"/>
  <c r="I114" i="7"/>
  <c r="N113" i="7"/>
  <c r="M113" i="7"/>
  <c r="L113" i="7"/>
  <c r="K113" i="7"/>
  <c r="J113" i="7"/>
  <c r="I113" i="7"/>
  <c r="N112" i="7"/>
  <c r="M112" i="7"/>
  <c r="L112" i="7"/>
  <c r="K112" i="7"/>
  <c r="J112" i="7"/>
  <c r="I112" i="7"/>
  <c r="N111" i="7"/>
  <c r="M111" i="7"/>
  <c r="L111" i="7"/>
  <c r="K111" i="7"/>
  <c r="J111" i="7"/>
  <c r="I111" i="7"/>
  <c r="N110" i="7"/>
  <c r="M110" i="7"/>
  <c r="L110" i="7"/>
  <c r="K110" i="7"/>
  <c r="J110" i="7"/>
  <c r="I110" i="7"/>
  <c r="N109" i="7"/>
  <c r="M109" i="7"/>
  <c r="L109" i="7"/>
  <c r="K109" i="7"/>
  <c r="J109" i="7"/>
  <c r="I109" i="7"/>
  <c r="N108" i="7"/>
  <c r="M108" i="7"/>
  <c r="L108" i="7"/>
  <c r="K108" i="7"/>
  <c r="J108" i="7"/>
  <c r="I108" i="7"/>
  <c r="N107" i="7"/>
  <c r="M107" i="7"/>
  <c r="L107" i="7"/>
  <c r="K107" i="7"/>
  <c r="J107" i="7"/>
  <c r="I107" i="7"/>
  <c r="N106" i="7"/>
  <c r="M106" i="7"/>
  <c r="L106" i="7"/>
  <c r="K106" i="7"/>
  <c r="J106" i="7"/>
  <c r="I106" i="7"/>
  <c r="N105" i="7"/>
  <c r="M105" i="7"/>
  <c r="L105" i="7"/>
  <c r="K105" i="7"/>
  <c r="J105" i="7"/>
  <c r="I105" i="7"/>
  <c r="N104" i="7"/>
  <c r="M104" i="7"/>
  <c r="L104" i="7"/>
  <c r="K104" i="7"/>
  <c r="J104" i="7"/>
  <c r="I104" i="7"/>
  <c r="N103" i="7"/>
  <c r="M103" i="7"/>
  <c r="L103" i="7"/>
  <c r="K103" i="7"/>
  <c r="J103" i="7"/>
  <c r="I103" i="7"/>
  <c r="N102" i="7"/>
  <c r="M102" i="7"/>
  <c r="L102" i="7"/>
  <c r="K102" i="7"/>
  <c r="J102" i="7"/>
  <c r="I102" i="7"/>
  <c r="N101" i="7"/>
  <c r="M101" i="7"/>
  <c r="L101" i="7"/>
  <c r="K101" i="7"/>
  <c r="J101" i="7"/>
  <c r="I101" i="7"/>
  <c r="N100" i="7"/>
  <c r="M100" i="7"/>
  <c r="L100" i="7"/>
  <c r="K100" i="7"/>
  <c r="J100" i="7"/>
  <c r="I100" i="7"/>
  <c r="N99" i="7"/>
  <c r="M99" i="7"/>
  <c r="L99" i="7"/>
  <c r="K99" i="7"/>
  <c r="J99" i="7"/>
  <c r="I99" i="7"/>
  <c r="N98" i="7"/>
  <c r="M98" i="7"/>
  <c r="L98" i="7"/>
  <c r="K98" i="7"/>
  <c r="J98" i="7"/>
  <c r="I98" i="7"/>
  <c r="N97" i="7"/>
  <c r="M97" i="7"/>
  <c r="L97" i="7"/>
  <c r="K97" i="7"/>
  <c r="J97" i="7"/>
  <c r="I97" i="7"/>
  <c r="N96" i="7"/>
  <c r="M96" i="7"/>
  <c r="L96" i="7"/>
  <c r="K96" i="7"/>
  <c r="J96" i="7"/>
  <c r="I96" i="7"/>
  <c r="N95" i="7"/>
  <c r="M95" i="7"/>
  <c r="L95" i="7"/>
  <c r="K95" i="7"/>
  <c r="J95" i="7"/>
  <c r="I95" i="7"/>
  <c r="N94" i="7"/>
  <c r="M94" i="7"/>
  <c r="L94" i="7"/>
  <c r="K94" i="7"/>
  <c r="J94" i="7"/>
  <c r="I94" i="7"/>
  <c r="N93" i="7"/>
  <c r="M93" i="7"/>
  <c r="L93" i="7"/>
  <c r="K93" i="7"/>
  <c r="J93" i="7"/>
  <c r="I93" i="7"/>
  <c r="N92" i="7"/>
  <c r="M92" i="7"/>
  <c r="L92" i="7"/>
  <c r="K92" i="7"/>
  <c r="J92" i="7"/>
  <c r="I92" i="7"/>
  <c r="N91" i="7"/>
  <c r="M91" i="7"/>
  <c r="L91" i="7"/>
  <c r="K91" i="7"/>
  <c r="J91" i="7"/>
  <c r="I91" i="7"/>
  <c r="N90" i="7"/>
  <c r="M90" i="7"/>
  <c r="L90" i="7"/>
  <c r="K90" i="7"/>
  <c r="J90" i="7"/>
  <c r="I90" i="7"/>
  <c r="N89" i="7"/>
  <c r="M89" i="7"/>
  <c r="L89" i="7"/>
  <c r="K89" i="7"/>
  <c r="J89" i="7"/>
  <c r="I89" i="7"/>
  <c r="N88" i="7"/>
  <c r="M88" i="7"/>
  <c r="L88" i="7"/>
  <c r="K88" i="7"/>
  <c r="J88" i="7"/>
  <c r="I88" i="7"/>
  <c r="N87" i="7"/>
  <c r="M87" i="7"/>
  <c r="L87" i="7"/>
  <c r="K87" i="7"/>
  <c r="J87" i="7"/>
  <c r="I87" i="7"/>
  <c r="N86" i="7"/>
  <c r="M86" i="7"/>
  <c r="L86" i="7"/>
  <c r="K86" i="7"/>
  <c r="J86" i="7"/>
  <c r="I86" i="7"/>
  <c r="N85" i="7"/>
  <c r="M85" i="7"/>
  <c r="L85" i="7"/>
  <c r="K85" i="7"/>
  <c r="J85" i="7"/>
  <c r="I85" i="7"/>
  <c r="N84" i="7"/>
  <c r="M84" i="7"/>
  <c r="L84" i="7"/>
  <c r="K84" i="7"/>
  <c r="J84" i="7"/>
  <c r="I84" i="7"/>
  <c r="N83" i="7"/>
  <c r="M83" i="7"/>
  <c r="L83" i="7"/>
  <c r="K83" i="7"/>
  <c r="J83" i="7"/>
  <c r="I83" i="7"/>
  <c r="N82" i="7"/>
  <c r="M82" i="7"/>
  <c r="L82" i="7"/>
  <c r="K82" i="7"/>
  <c r="J82" i="7"/>
  <c r="I82" i="7"/>
  <c r="N81" i="7"/>
  <c r="M81" i="7"/>
  <c r="L81" i="7"/>
  <c r="K81" i="7"/>
  <c r="J81" i="7"/>
  <c r="I81" i="7"/>
  <c r="N80" i="7"/>
  <c r="M80" i="7"/>
  <c r="L80" i="7"/>
  <c r="K80" i="7"/>
  <c r="J80" i="7"/>
  <c r="I80" i="7"/>
  <c r="N79" i="7"/>
  <c r="M79" i="7"/>
  <c r="L79" i="7"/>
  <c r="K79" i="7"/>
  <c r="J79" i="7"/>
  <c r="I79" i="7"/>
  <c r="N78" i="7"/>
  <c r="M78" i="7"/>
  <c r="L78" i="7"/>
  <c r="K78" i="7"/>
  <c r="J78" i="7"/>
  <c r="I78" i="7"/>
  <c r="N77" i="7"/>
  <c r="M77" i="7"/>
  <c r="L77" i="7"/>
  <c r="K77" i="7"/>
  <c r="J77" i="7"/>
  <c r="I77" i="7"/>
  <c r="N76" i="7"/>
  <c r="M76" i="7"/>
  <c r="L76" i="7"/>
  <c r="K76" i="7"/>
  <c r="J76" i="7"/>
  <c r="I76" i="7"/>
  <c r="N75" i="7"/>
  <c r="M75" i="7"/>
  <c r="L75" i="7"/>
  <c r="K75" i="7"/>
  <c r="J75" i="7"/>
  <c r="I75" i="7"/>
  <c r="N74" i="7"/>
  <c r="M74" i="7"/>
  <c r="L74" i="7"/>
  <c r="K74" i="7"/>
  <c r="J74" i="7"/>
  <c r="I74" i="7"/>
  <c r="N73" i="7"/>
  <c r="M73" i="7"/>
  <c r="L73" i="7"/>
  <c r="K73" i="7"/>
  <c r="J73" i="7"/>
  <c r="I73" i="7"/>
  <c r="N72" i="7"/>
  <c r="M72" i="7"/>
  <c r="L72" i="7"/>
  <c r="K72" i="7"/>
  <c r="J72" i="7"/>
  <c r="I72" i="7"/>
  <c r="N71" i="7"/>
  <c r="M71" i="7"/>
  <c r="L71" i="7"/>
  <c r="K71" i="7"/>
  <c r="J71" i="7"/>
  <c r="I71" i="7"/>
  <c r="N70" i="7"/>
  <c r="M70" i="7"/>
  <c r="L70" i="7"/>
  <c r="K70" i="7"/>
  <c r="J70" i="7"/>
  <c r="I70" i="7"/>
  <c r="N69" i="7"/>
  <c r="M69" i="7"/>
  <c r="L69" i="7"/>
  <c r="K69" i="7"/>
  <c r="J69" i="7"/>
  <c r="I69" i="7"/>
  <c r="N68" i="7"/>
  <c r="M68" i="7"/>
  <c r="L68" i="7"/>
  <c r="K68" i="7"/>
  <c r="J68" i="7"/>
  <c r="I68" i="7"/>
  <c r="N67" i="7"/>
  <c r="M67" i="7"/>
  <c r="L67" i="7"/>
  <c r="K67" i="7"/>
  <c r="J67" i="7"/>
  <c r="I67" i="7"/>
  <c r="N66" i="7"/>
  <c r="M66" i="7"/>
  <c r="L66" i="7"/>
  <c r="K66" i="7"/>
  <c r="J66" i="7"/>
  <c r="I66" i="7"/>
  <c r="N65" i="7"/>
  <c r="M65" i="7"/>
  <c r="L65" i="7"/>
  <c r="K65" i="7"/>
  <c r="J65" i="7"/>
  <c r="I65" i="7"/>
  <c r="N64" i="7"/>
  <c r="M64" i="7"/>
  <c r="L64" i="7"/>
  <c r="K64" i="7"/>
  <c r="J64" i="7"/>
  <c r="I64" i="7"/>
  <c r="N63" i="7"/>
  <c r="M63" i="7"/>
  <c r="L63" i="7"/>
  <c r="K63" i="7"/>
  <c r="J63" i="7"/>
  <c r="I63" i="7"/>
  <c r="N62" i="7"/>
  <c r="M62" i="7"/>
  <c r="L62" i="7"/>
  <c r="K62" i="7"/>
  <c r="J62" i="7"/>
  <c r="I62" i="7"/>
  <c r="N61" i="7"/>
  <c r="M61" i="7"/>
  <c r="L61" i="7"/>
  <c r="K61" i="7"/>
  <c r="J61" i="7"/>
  <c r="I61" i="7"/>
  <c r="N60" i="7"/>
  <c r="M60" i="7"/>
  <c r="L60" i="7"/>
  <c r="K60" i="7"/>
  <c r="J60" i="7"/>
  <c r="I60" i="7"/>
  <c r="N59" i="7"/>
  <c r="M59" i="7"/>
  <c r="L59" i="7"/>
  <c r="K59" i="7"/>
  <c r="J59" i="7"/>
  <c r="I59" i="7"/>
  <c r="N58" i="7"/>
  <c r="M58" i="7"/>
  <c r="L58" i="7"/>
  <c r="K58" i="7"/>
  <c r="J58" i="7"/>
  <c r="I58" i="7"/>
  <c r="N57" i="7"/>
  <c r="M57" i="7"/>
  <c r="L57" i="7"/>
  <c r="K57" i="7"/>
  <c r="J57" i="7"/>
  <c r="I57" i="7"/>
  <c r="N56" i="7"/>
  <c r="M56" i="7"/>
  <c r="L56" i="7"/>
  <c r="K56" i="7"/>
  <c r="J56" i="7"/>
  <c r="I56" i="7"/>
  <c r="N55" i="7"/>
  <c r="M55" i="7"/>
  <c r="L55" i="7"/>
  <c r="K55" i="7"/>
  <c r="J55" i="7"/>
  <c r="I55" i="7"/>
  <c r="N54" i="7"/>
  <c r="M54" i="7"/>
  <c r="L54" i="7"/>
  <c r="K54" i="7"/>
  <c r="J54" i="7"/>
  <c r="I54" i="7"/>
  <c r="N53" i="7"/>
  <c r="M53" i="7"/>
  <c r="L53" i="7"/>
  <c r="K53" i="7"/>
  <c r="J53" i="7"/>
  <c r="I53" i="7"/>
  <c r="N52" i="7"/>
  <c r="M52" i="7"/>
  <c r="L52" i="7"/>
  <c r="K52" i="7"/>
  <c r="J52" i="7"/>
  <c r="I52" i="7"/>
  <c r="N51" i="7"/>
  <c r="M51" i="7"/>
  <c r="L51" i="7"/>
  <c r="K51" i="7"/>
  <c r="J51" i="7"/>
  <c r="I51" i="7"/>
  <c r="N50" i="7"/>
  <c r="M50" i="7"/>
  <c r="L50" i="7"/>
  <c r="K50" i="7"/>
  <c r="J50" i="7"/>
  <c r="I50" i="7"/>
  <c r="N49" i="7"/>
  <c r="M49" i="7"/>
  <c r="L49" i="7"/>
  <c r="K49" i="7"/>
  <c r="J49" i="7"/>
  <c r="I49" i="7"/>
  <c r="N48" i="7"/>
  <c r="M48" i="7"/>
  <c r="L48" i="7"/>
  <c r="K48" i="7"/>
  <c r="J48" i="7"/>
  <c r="I48" i="7"/>
  <c r="N47" i="7"/>
  <c r="M47" i="7"/>
  <c r="L47" i="7"/>
  <c r="K47" i="7"/>
  <c r="J47" i="7"/>
  <c r="I47" i="7"/>
  <c r="N46" i="7"/>
  <c r="M46" i="7"/>
  <c r="L46" i="7"/>
  <c r="K46" i="7"/>
  <c r="J46" i="7"/>
  <c r="I46" i="7"/>
  <c r="N45" i="7"/>
  <c r="M45" i="7"/>
  <c r="L45" i="7"/>
  <c r="K45" i="7"/>
  <c r="J45" i="7"/>
  <c r="I45" i="7"/>
  <c r="N44" i="7"/>
  <c r="M44" i="7"/>
  <c r="L44" i="7"/>
  <c r="K44" i="7"/>
  <c r="J44" i="7"/>
  <c r="I44" i="7"/>
  <c r="N43" i="7"/>
  <c r="M43" i="7"/>
  <c r="L43" i="7"/>
  <c r="K43" i="7"/>
  <c r="J43" i="7"/>
  <c r="I43" i="7"/>
  <c r="N42" i="7"/>
  <c r="M42" i="7"/>
  <c r="L42" i="7"/>
  <c r="K42" i="7"/>
  <c r="J42" i="7"/>
  <c r="I42" i="7"/>
  <c r="N41" i="7"/>
  <c r="M41" i="7"/>
  <c r="L41" i="7"/>
  <c r="K41" i="7"/>
  <c r="J41" i="7"/>
  <c r="I41" i="7"/>
  <c r="N40" i="7"/>
  <c r="M40" i="7"/>
  <c r="L40" i="7"/>
  <c r="K40" i="7"/>
  <c r="J40" i="7"/>
  <c r="I40" i="7"/>
  <c r="N39" i="7"/>
  <c r="M39" i="7"/>
  <c r="L39" i="7"/>
  <c r="K39" i="7"/>
  <c r="J39" i="7"/>
  <c r="I39" i="7"/>
  <c r="N38" i="7"/>
  <c r="M38" i="7"/>
  <c r="L38" i="7"/>
  <c r="K38" i="7"/>
  <c r="J38" i="7"/>
  <c r="I38" i="7"/>
  <c r="N37" i="7"/>
  <c r="M37" i="7"/>
  <c r="L37" i="7"/>
  <c r="K37" i="7"/>
  <c r="J37" i="7"/>
  <c r="I37" i="7"/>
  <c r="N36" i="7"/>
  <c r="M36" i="7"/>
  <c r="L36" i="7"/>
  <c r="K36" i="7"/>
  <c r="J36" i="7"/>
  <c r="I36" i="7"/>
  <c r="N35" i="7"/>
  <c r="M35" i="7"/>
  <c r="L35" i="7"/>
  <c r="K35" i="7"/>
  <c r="J35" i="7"/>
  <c r="I35" i="7"/>
  <c r="N34" i="7"/>
  <c r="M34" i="7"/>
  <c r="L34" i="7"/>
  <c r="K34" i="7"/>
  <c r="J34" i="7"/>
  <c r="I34" i="7"/>
  <c r="N33" i="7"/>
  <c r="M33" i="7"/>
  <c r="L33" i="7"/>
  <c r="K33" i="7"/>
  <c r="J33" i="7"/>
  <c r="I33" i="7"/>
  <c r="N32" i="7"/>
  <c r="M32" i="7"/>
  <c r="L32" i="7"/>
  <c r="K32" i="7"/>
  <c r="J32" i="7"/>
  <c r="I32" i="7"/>
  <c r="N31" i="7"/>
  <c r="M31" i="7"/>
  <c r="L31" i="7"/>
  <c r="K31" i="7"/>
  <c r="J31" i="7"/>
  <c r="I31" i="7"/>
  <c r="N30" i="7"/>
  <c r="M30" i="7"/>
  <c r="L30" i="7"/>
  <c r="K30" i="7"/>
  <c r="J30" i="7"/>
  <c r="I30" i="7"/>
  <c r="N29" i="7"/>
  <c r="M29" i="7"/>
  <c r="L29" i="7"/>
  <c r="K29" i="7"/>
  <c r="J29" i="7"/>
  <c r="I29" i="7"/>
  <c r="N28" i="7"/>
  <c r="M28" i="7"/>
  <c r="L28" i="7"/>
  <c r="K28" i="7"/>
  <c r="J28" i="7"/>
  <c r="I28" i="7"/>
  <c r="N27" i="7"/>
  <c r="M27" i="7"/>
  <c r="L27" i="7"/>
  <c r="K27" i="7"/>
  <c r="J27" i="7"/>
  <c r="I27" i="7"/>
  <c r="N26" i="7"/>
  <c r="M26" i="7"/>
  <c r="L26" i="7"/>
  <c r="K26" i="7"/>
  <c r="J26" i="7"/>
  <c r="I26" i="7"/>
  <c r="N25" i="7"/>
  <c r="M25" i="7"/>
  <c r="L25" i="7"/>
  <c r="K25" i="7"/>
  <c r="J25" i="7"/>
  <c r="I25" i="7"/>
  <c r="N24" i="7"/>
  <c r="M24" i="7"/>
  <c r="L24" i="7"/>
  <c r="K24" i="7"/>
  <c r="J24" i="7"/>
  <c r="I24" i="7"/>
  <c r="N23" i="7"/>
  <c r="M23" i="7"/>
  <c r="L23" i="7"/>
  <c r="K23" i="7"/>
  <c r="J23" i="7"/>
  <c r="I23" i="7"/>
  <c r="N22" i="7"/>
  <c r="M22" i="7"/>
  <c r="L22" i="7"/>
  <c r="K22" i="7"/>
  <c r="J22" i="7"/>
  <c r="I22" i="7"/>
  <c r="N21" i="7"/>
  <c r="M21" i="7"/>
  <c r="L21" i="7"/>
  <c r="K21" i="7"/>
  <c r="J21" i="7"/>
  <c r="I21" i="7"/>
  <c r="N20" i="7"/>
  <c r="M20" i="7"/>
  <c r="L20" i="7"/>
  <c r="K20" i="7"/>
  <c r="I20" i="7"/>
  <c r="N19" i="7"/>
  <c r="M19" i="7"/>
  <c r="L19" i="7"/>
  <c r="K19" i="7"/>
  <c r="J19" i="7"/>
  <c r="I19" i="7"/>
  <c r="N18" i="7"/>
  <c r="M18" i="7"/>
  <c r="L18" i="7"/>
  <c r="K18" i="7"/>
  <c r="J18" i="7"/>
  <c r="I18" i="7"/>
  <c r="N17" i="7"/>
  <c r="M17" i="7"/>
  <c r="L17" i="7"/>
  <c r="K17" i="7"/>
  <c r="J17" i="7"/>
  <c r="I17" i="7"/>
  <c r="M16" i="7"/>
  <c r="L16" i="7"/>
  <c r="K16" i="7"/>
  <c r="J16" i="7"/>
  <c r="I16" i="7"/>
  <c r="N15" i="7"/>
  <c r="M15" i="7"/>
  <c r="L15" i="7"/>
  <c r="K15" i="7"/>
  <c r="J15" i="7"/>
  <c r="I15" i="7"/>
  <c r="N14" i="7"/>
  <c r="M14" i="7"/>
  <c r="L14" i="7"/>
  <c r="K14" i="7"/>
  <c r="J14" i="7"/>
  <c r="I14" i="7"/>
  <c r="N13" i="7"/>
  <c r="M13" i="7"/>
  <c r="L13" i="7"/>
  <c r="K13" i="7"/>
  <c r="J13" i="7"/>
  <c r="I13" i="7"/>
  <c r="N12" i="7"/>
  <c r="M12" i="7"/>
  <c r="L12" i="7"/>
  <c r="K12" i="7"/>
  <c r="J12" i="7"/>
  <c r="I12" i="7"/>
  <c r="N11" i="7"/>
  <c r="M11" i="7"/>
  <c r="L11" i="7"/>
  <c r="K11" i="7"/>
  <c r="J11" i="7"/>
  <c r="I11" i="7"/>
  <c r="N10" i="7"/>
  <c r="M10" i="7"/>
  <c r="L10" i="7"/>
  <c r="K10" i="7"/>
  <c r="J10" i="7"/>
  <c r="I10" i="7"/>
  <c r="N9" i="7"/>
  <c r="M9" i="7"/>
  <c r="L9" i="7"/>
  <c r="K9" i="7"/>
  <c r="J9" i="7"/>
  <c r="I9" i="7"/>
  <c r="N8" i="7"/>
  <c r="M8" i="7"/>
  <c r="L8" i="7"/>
  <c r="K8" i="7"/>
  <c r="J8" i="7"/>
  <c r="I8" i="7"/>
  <c r="N7" i="7"/>
  <c r="M7" i="7"/>
  <c r="L7" i="7"/>
  <c r="K7" i="7"/>
  <c r="J7" i="7"/>
  <c r="I7" i="7"/>
  <c r="N6" i="7"/>
  <c r="M6" i="7"/>
  <c r="L6" i="7"/>
  <c r="K6" i="7"/>
  <c r="J6" i="7"/>
  <c r="I6" i="7"/>
  <c r="N5" i="7"/>
  <c r="M5" i="7"/>
  <c r="L5" i="7"/>
  <c r="K5" i="7"/>
  <c r="J5" i="7"/>
  <c r="I5" i="7"/>
  <c r="N4" i="7"/>
  <c r="M4" i="7"/>
  <c r="L4" i="7"/>
  <c r="K4" i="7"/>
  <c r="J4" i="7"/>
  <c r="I4" i="7"/>
  <c r="N3" i="7"/>
  <c r="M3" i="7"/>
  <c r="L3" i="7"/>
  <c r="K3" i="7"/>
  <c r="J3" i="7"/>
  <c r="I3" i="7"/>
  <c r="O2" i="7"/>
  <c r="N2" i="7"/>
  <c r="M2" i="7"/>
  <c r="L2" i="7"/>
  <c r="K2" i="7"/>
  <c r="J2" i="7"/>
  <c r="I2" i="7"/>
  <c r="D46" i="1"/>
  <c r="E46" i="1"/>
  <c r="F46" i="1"/>
  <c r="G46" i="1"/>
  <c r="C46" i="1"/>
  <c r="G42" i="1"/>
  <c r="F42" i="1"/>
  <c r="E42" i="1"/>
  <c r="C42" i="1"/>
  <c r="C43" i="1" s="1"/>
  <c r="D42" i="1"/>
  <c r="D35" i="1"/>
  <c r="E35" i="1"/>
  <c r="F35" i="1"/>
  <c r="G35" i="1"/>
  <c r="D36" i="1"/>
  <c r="E36" i="1"/>
  <c r="F36" i="1"/>
  <c r="G36" i="1"/>
  <c r="D37" i="1"/>
  <c r="D43" i="1" s="1"/>
  <c r="E37" i="1"/>
  <c r="E43" i="1" s="1"/>
  <c r="F37" i="1"/>
  <c r="G37" i="1"/>
  <c r="G43" i="1" s="1"/>
  <c r="D38" i="1"/>
  <c r="E38" i="1"/>
  <c r="F38" i="1"/>
  <c r="G38" i="1"/>
  <c r="D40" i="1"/>
  <c r="E40" i="1"/>
  <c r="F40" i="1"/>
  <c r="G40" i="1"/>
  <c r="D41" i="1"/>
  <c r="E41" i="1"/>
  <c r="F41" i="1"/>
  <c r="G41" i="1"/>
  <c r="C35" i="1"/>
  <c r="C41" i="1"/>
  <c r="C40" i="1"/>
  <c r="C38" i="1"/>
  <c r="C37" i="1"/>
  <c r="C36" i="1"/>
  <c r="O52" i="6"/>
  <c r="O56" i="6"/>
  <c r="O57" i="6"/>
  <c r="I51" i="6"/>
  <c r="J51" i="6"/>
  <c r="K51" i="6"/>
  <c r="L51" i="6"/>
  <c r="M51" i="6"/>
  <c r="N51" i="6"/>
  <c r="O51" i="6"/>
  <c r="I52" i="6"/>
  <c r="J52" i="6"/>
  <c r="J55" i="6" s="1"/>
  <c r="K52" i="6"/>
  <c r="K55" i="6" s="1"/>
  <c r="L52" i="6"/>
  <c r="L55" i="6" s="1"/>
  <c r="M52" i="6"/>
  <c r="M55" i="6" s="1"/>
  <c r="N52" i="6"/>
  <c r="N55" i="6" s="1"/>
  <c r="O58" i="6"/>
  <c r="D27" i="1"/>
  <c r="E27" i="1"/>
  <c r="F27" i="1"/>
  <c r="G27" i="1"/>
  <c r="D28" i="1"/>
  <c r="E28" i="1"/>
  <c r="F28" i="1"/>
  <c r="G28" i="1"/>
  <c r="C28" i="1"/>
  <c r="C27" i="1"/>
  <c r="I4" i="5"/>
  <c r="K8" i="6"/>
  <c r="L8" i="6"/>
  <c r="M8" i="6"/>
  <c r="N8" i="6"/>
  <c r="O60" i="6"/>
  <c r="N63" i="6"/>
  <c r="M63" i="6"/>
  <c r="L63" i="6"/>
  <c r="K63" i="6"/>
  <c r="J63" i="6"/>
  <c r="I63" i="6"/>
  <c r="O59" i="6"/>
  <c r="N62" i="6"/>
  <c r="M62" i="6"/>
  <c r="L62" i="6"/>
  <c r="K62" i="6"/>
  <c r="J62" i="6"/>
  <c r="I62" i="6"/>
  <c r="N61" i="6"/>
  <c r="M61" i="6"/>
  <c r="L61" i="6"/>
  <c r="K61" i="6"/>
  <c r="J61" i="6"/>
  <c r="I61" i="6"/>
  <c r="N60" i="6"/>
  <c r="M60" i="6"/>
  <c r="L60" i="6"/>
  <c r="K60" i="6"/>
  <c r="J60" i="6"/>
  <c r="I60" i="6"/>
  <c r="N59" i="6"/>
  <c r="M59" i="6"/>
  <c r="L59" i="6"/>
  <c r="K59" i="6"/>
  <c r="J59" i="6"/>
  <c r="I59" i="6"/>
  <c r="N58" i="6"/>
  <c r="M58" i="6"/>
  <c r="L58" i="6"/>
  <c r="K58" i="6"/>
  <c r="J58" i="6"/>
  <c r="I58" i="6"/>
  <c r="N57" i="6"/>
  <c r="M57" i="6"/>
  <c r="L57" i="6"/>
  <c r="K57" i="6"/>
  <c r="J57" i="6"/>
  <c r="I57" i="6"/>
  <c r="O50" i="6"/>
  <c r="N56" i="6"/>
  <c r="M56" i="6"/>
  <c r="L56" i="6"/>
  <c r="K56" i="6"/>
  <c r="J56" i="6"/>
  <c r="I56" i="6"/>
  <c r="O49" i="6"/>
  <c r="O48" i="6"/>
  <c r="O47" i="6"/>
  <c r="N50" i="6"/>
  <c r="M50" i="6"/>
  <c r="L50" i="6"/>
  <c r="K50" i="6"/>
  <c r="J50" i="6"/>
  <c r="I50" i="6"/>
  <c r="O46" i="6"/>
  <c r="N49" i="6"/>
  <c r="M49" i="6"/>
  <c r="L49" i="6"/>
  <c r="K49" i="6"/>
  <c r="J49" i="6"/>
  <c r="I49" i="6"/>
  <c r="O45" i="6"/>
  <c r="N48" i="6"/>
  <c r="M48" i="6"/>
  <c r="L48" i="6"/>
  <c r="K48" i="6"/>
  <c r="J48" i="6"/>
  <c r="I48" i="6"/>
  <c r="O44" i="6"/>
  <c r="N47" i="6"/>
  <c r="M47" i="6"/>
  <c r="L47" i="6"/>
  <c r="K47" i="6"/>
  <c r="J47" i="6"/>
  <c r="I47" i="6"/>
  <c r="O43" i="6"/>
  <c r="N46" i="6"/>
  <c r="M46" i="6"/>
  <c r="L46" i="6"/>
  <c r="K46" i="6"/>
  <c r="J46" i="6"/>
  <c r="I46" i="6"/>
  <c r="O42" i="6"/>
  <c r="N45" i="6"/>
  <c r="M45" i="6"/>
  <c r="L45" i="6"/>
  <c r="K45" i="6"/>
  <c r="J45" i="6"/>
  <c r="I45" i="6"/>
  <c r="O41" i="6"/>
  <c r="N44" i="6"/>
  <c r="M44" i="6"/>
  <c r="L44" i="6"/>
  <c r="K44" i="6"/>
  <c r="J44" i="6"/>
  <c r="I44" i="6"/>
  <c r="O40" i="6"/>
  <c r="N43" i="6"/>
  <c r="M43" i="6"/>
  <c r="L43" i="6"/>
  <c r="K43" i="6"/>
  <c r="J43" i="6"/>
  <c r="I43" i="6"/>
  <c r="O39" i="6"/>
  <c r="N42" i="6"/>
  <c r="M42" i="6"/>
  <c r="L42" i="6"/>
  <c r="K42" i="6"/>
  <c r="J42" i="6"/>
  <c r="I42" i="6"/>
  <c r="O38" i="6"/>
  <c r="N41" i="6"/>
  <c r="M41" i="6"/>
  <c r="L41" i="6"/>
  <c r="K41" i="6"/>
  <c r="J41" i="6"/>
  <c r="I41" i="6"/>
  <c r="O37" i="6"/>
  <c r="N40" i="6"/>
  <c r="M40" i="6"/>
  <c r="L40" i="6"/>
  <c r="K40" i="6"/>
  <c r="J40" i="6"/>
  <c r="I40" i="6"/>
  <c r="O36" i="6"/>
  <c r="N39" i="6"/>
  <c r="M39" i="6"/>
  <c r="L39" i="6"/>
  <c r="K39" i="6"/>
  <c r="J39" i="6"/>
  <c r="I39" i="6"/>
  <c r="O35" i="6"/>
  <c r="N38" i="6"/>
  <c r="M38" i="6"/>
  <c r="L38" i="6"/>
  <c r="K38" i="6"/>
  <c r="J38" i="6"/>
  <c r="I38" i="6"/>
  <c r="O34" i="6"/>
  <c r="N37" i="6"/>
  <c r="M37" i="6"/>
  <c r="L37" i="6"/>
  <c r="K37" i="6"/>
  <c r="J37" i="6"/>
  <c r="I37" i="6"/>
  <c r="N36" i="6"/>
  <c r="G29" i="1" s="1"/>
  <c r="M36" i="6"/>
  <c r="F29" i="1" s="1"/>
  <c r="L36" i="6"/>
  <c r="E29" i="1" s="1"/>
  <c r="K36" i="6"/>
  <c r="D29" i="1" s="1"/>
  <c r="J36" i="6"/>
  <c r="C29" i="1" s="1"/>
  <c r="I36" i="6"/>
  <c r="N35" i="6"/>
  <c r="M35" i="6"/>
  <c r="L35" i="6"/>
  <c r="K35" i="6"/>
  <c r="J35" i="6"/>
  <c r="I35" i="6"/>
  <c r="N34" i="6"/>
  <c r="G31" i="1" s="1"/>
  <c r="M34" i="6"/>
  <c r="F31" i="1" s="1"/>
  <c r="L34" i="6"/>
  <c r="E31" i="1" s="1"/>
  <c r="K34" i="6"/>
  <c r="D31" i="1" s="1"/>
  <c r="J34" i="6"/>
  <c r="C31" i="1" s="1"/>
  <c r="I34" i="6"/>
  <c r="N30" i="6"/>
  <c r="N33" i="6" s="1"/>
  <c r="M30" i="6"/>
  <c r="M33" i="6" s="1"/>
  <c r="L30" i="6"/>
  <c r="L33" i="6" s="1"/>
  <c r="K30" i="6"/>
  <c r="K33" i="6" s="1"/>
  <c r="J30" i="6"/>
  <c r="J33" i="6" s="1"/>
  <c r="I30" i="6"/>
  <c r="O29" i="6"/>
  <c r="N29" i="6"/>
  <c r="G26" i="1" s="1"/>
  <c r="M29" i="6"/>
  <c r="F26" i="1" s="1"/>
  <c r="L29" i="6"/>
  <c r="E26" i="1" s="1"/>
  <c r="K29" i="6"/>
  <c r="D26" i="1" s="1"/>
  <c r="J29" i="6"/>
  <c r="C26" i="1" s="1"/>
  <c r="I29" i="6"/>
  <c r="O28" i="6"/>
  <c r="N28" i="6"/>
  <c r="M28" i="6"/>
  <c r="L28" i="6"/>
  <c r="K28" i="6"/>
  <c r="J28" i="6"/>
  <c r="I28" i="6"/>
  <c r="O27" i="6"/>
  <c r="N27" i="6"/>
  <c r="G25" i="1" s="1"/>
  <c r="M27" i="6"/>
  <c r="F25" i="1" s="1"/>
  <c r="L27" i="6"/>
  <c r="E25" i="1" s="1"/>
  <c r="K27" i="6"/>
  <c r="D25" i="1" s="1"/>
  <c r="J27" i="6"/>
  <c r="C25" i="1" s="1"/>
  <c r="I27" i="6"/>
  <c r="O26" i="6"/>
  <c r="N26" i="6"/>
  <c r="M26" i="6"/>
  <c r="L26" i="6"/>
  <c r="K26" i="6"/>
  <c r="J26" i="6"/>
  <c r="I26" i="6"/>
  <c r="O25" i="6"/>
  <c r="N25" i="6"/>
  <c r="M25" i="6"/>
  <c r="L25" i="6"/>
  <c r="K25" i="6"/>
  <c r="J25" i="6"/>
  <c r="I25" i="6"/>
  <c r="O24" i="6"/>
  <c r="N24" i="6"/>
  <c r="M24" i="6"/>
  <c r="L24" i="6"/>
  <c r="K24" i="6"/>
  <c r="J24" i="6"/>
  <c r="I24" i="6"/>
  <c r="O23" i="6"/>
  <c r="N23" i="6"/>
  <c r="G20" i="1" s="1"/>
  <c r="M23" i="6"/>
  <c r="F20" i="1" s="1"/>
  <c r="L23" i="6"/>
  <c r="E20" i="1" s="1"/>
  <c r="K23" i="6"/>
  <c r="D20" i="1" s="1"/>
  <c r="J23" i="6"/>
  <c r="C20" i="1" s="1"/>
  <c r="I23" i="6"/>
  <c r="O22" i="6"/>
  <c r="N22" i="6"/>
  <c r="G19" i="1" s="1"/>
  <c r="M22" i="6"/>
  <c r="F19" i="1" s="1"/>
  <c r="L22" i="6"/>
  <c r="E19" i="1" s="1"/>
  <c r="K22" i="6"/>
  <c r="D19" i="1" s="1"/>
  <c r="J22" i="6"/>
  <c r="C19" i="1" s="1"/>
  <c r="I22" i="6"/>
  <c r="O21" i="6"/>
  <c r="N21" i="6"/>
  <c r="M21" i="6"/>
  <c r="L21" i="6"/>
  <c r="K21" i="6"/>
  <c r="J21" i="6"/>
  <c r="I21" i="6"/>
  <c r="O20" i="6"/>
  <c r="N20" i="6"/>
  <c r="M20" i="6"/>
  <c r="L20" i="6"/>
  <c r="K20" i="6"/>
  <c r="J20" i="6"/>
  <c r="I20" i="6"/>
  <c r="O19" i="6"/>
  <c r="N19" i="6"/>
  <c r="G18" i="1" s="1"/>
  <c r="M19" i="6"/>
  <c r="F18" i="1" s="1"/>
  <c r="L19" i="6"/>
  <c r="E18" i="1" s="1"/>
  <c r="K19" i="6"/>
  <c r="D18" i="1" s="1"/>
  <c r="J19" i="6"/>
  <c r="C18" i="1" s="1"/>
  <c r="I19" i="6"/>
  <c r="O18" i="6"/>
  <c r="N18" i="6"/>
  <c r="G17" i="1" s="1"/>
  <c r="M18" i="6"/>
  <c r="F17" i="1" s="1"/>
  <c r="L18" i="6"/>
  <c r="E17" i="1" s="1"/>
  <c r="K18" i="6"/>
  <c r="D17" i="1" s="1"/>
  <c r="J18" i="6"/>
  <c r="C17" i="1" s="1"/>
  <c r="I18" i="6"/>
  <c r="O17" i="6"/>
  <c r="N17" i="6"/>
  <c r="M17" i="6"/>
  <c r="L17" i="6"/>
  <c r="K17" i="6"/>
  <c r="J17" i="6"/>
  <c r="I17" i="6"/>
  <c r="O16" i="6"/>
  <c r="N16" i="6"/>
  <c r="M16" i="6"/>
  <c r="L16" i="6"/>
  <c r="K16" i="6"/>
  <c r="J16" i="6"/>
  <c r="I16" i="6"/>
  <c r="O15" i="6"/>
  <c r="N15" i="6"/>
  <c r="G15" i="1" s="1"/>
  <c r="M15" i="6"/>
  <c r="F15" i="1" s="1"/>
  <c r="L15" i="6"/>
  <c r="E15" i="1" s="1"/>
  <c r="K15" i="6"/>
  <c r="D15" i="1" s="1"/>
  <c r="J15" i="6"/>
  <c r="C15" i="1" s="1"/>
  <c r="I15" i="6"/>
  <c r="O14" i="6"/>
  <c r="N14" i="6"/>
  <c r="G16" i="1" s="1"/>
  <c r="M14" i="6"/>
  <c r="F16" i="1" s="1"/>
  <c r="L14" i="6"/>
  <c r="E16" i="1" s="1"/>
  <c r="K14" i="6"/>
  <c r="D16" i="1" s="1"/>
  <c r="J14" i="6"/>
  <c r="C16" i="1" s="1"/>
  <c r="I14" i="6"/>
  <c r="O13" i="6"/>
  <c r="N13" i="6"/>
  <c r="M13" i="6"/>
  <c r="L13" i="6"/>
  <c r="K13" i="6"/>
  <c r="J13" i="6"/>
  <c r="I13" i="6"/>
  <c r="O12" i="6"/>
  <c r="N12" i="6"/>
  <c r="G11" i="1" s="1"/>
  <c r="M12" i="6"/>
  <c r="F11" i="1" s="1"/>
  <c r="L12" i="6"/>
  <c r="E11" i="1" s="1"/>
  <c r="K12" i="6"/>
  <c r="D11" i="1" s="1"/>
  <c r="J12" i="6"/>
  <c r="C11" i="1" s="1"/>
  <c r="I12" i="6"/>
  <c r="O11" i="6"/>
  <c r="N11" i="6"/>
  <c r="G13" i="1" s="1"/>
  <c r="M11" i="6"/>
  <c r="F13" i="1" s="1"/>
  <c r="L11" i="6"/>
  <c r="E13" i="1" s="1"/>
  <c r="K11" i="6"/>
  <c r="D13" i="1" s="1"/>
  <c r="J11" i="6"/>
  <c r="C13" i="1" s="1"/>
  <c r="I11" i="6"/>
  <c r="O10" i="6"/>
  <c r="N10" i="6"/>
  <c r="G10" i="1" s="1"/>
  <c r="M10" i="6"/>
  <c r="F10" i="1" s="1"/>
  <c r="L10" i="6"/>
  <c r="E10" i="1" s="1"/>
  <c r="K10" i="6"/>
  <c r="D10" i="1" s="1"/>
  <c r="J10" i="6"/>
  <c r="C10" i="1" s="1"/>
  <c r="I10" i="6"/>
  <c r="O9" i="6"/>
  <c r="N9" i="6"/>
  <c r="G9" i="1" s="1"/>
  <c r="M9" i="6"/>
  <c r="F9" i="1" s="1"/>
  <c r="L9" i="6"/>
  <c r="E9" i="1" s="1"/>
  <c r="K9" i="6"/>
  <c r="D9" i="1" s="1"/>
  <c r="J9" i="6"/>
  <c r="C9" i="1" s="1"/>
  <c r="I9" i="6"/>
  <c r="O8" i="6"/>
  <c r="J8" i="6"/>
  <c r="I8" i="6"/>
  <c r="O7" i="6"/>
  <c r="N7" i="6"/>
  <c r="M7" i="6"/>
  <c r="L7" i="6"/>
  <c r="K7" i="6"/>
  <c r="J7" i="6"/>
  <c r="I7" i="6"/>
  <c r="O6" i="6"/>
  <c r="N6" i="6"/>
  <c r="G7" i="1" s="1"/>
  <c r="M6" i="6"/>
  <c r="F7" i="1" s="1"/>
  <c r="L6" i="6"/>
  <c r="E7" i="1" s="1"/>
  <c r="K6" i="6"/>
  <c r="D7" i="1" s="1"/>
  <c r="J6" i="6"/>
  <c r="C7" i="1" s="1"/>
  <c r="I6" i="6"/>
  <c r="O5" i="6"/>
  <c r="N5" i="6"/>
  <c r="M5" i="6"/>
  <c r="L5" i="6"/>
  <c r="K5" i="6"/>
  <c r="J5" i="6"/>
  <c r="I5" i="6"/>
  <c r="O4" i="6"/>
  <c r="N4" i="6"/>
  <c r="M4" i="6"/>
  <c r="L4" i="6"/>
  <c r="K4" i="6"/>
  <c r="J4" i="6"/>
  <c r="I4" i="6"/>
  <c r="O3" i="6"/>
  <c r="N3" i="6"/>
  <c r="M3" i="6"/>
  <c r="L3" i="6"/>
  <c r="K3" i="6"/>
  <c r="J3" i="6"/>
  <c r="I3" i="6"/>
  <c r="O2" i="6"/>
  <c r="N2" i="6"/>
  <c r="M2" i="6"/>
  <c r="L2" i="6"/>
  <c r="K2" i="6"/>
  <c r="J2" i="6"/>
  <c r="I2" i="6"/>
  <c r="D53" i="2"/>
  <c r="E53" i="2"/>
  <c r="F53" i="2"/>
  <c r="G53" i="2"/>
  <c r="H53" i="2" s="1"/>
  <c r="I53" i="2" s="1"/>
  <c r="J53" i="2" s="1"/>
  <c r="K53" i="2" s="1"/>
  <c r="L53" i="2" s="1"/>
  <c r="C53" i="2"/>
  <c r="D55" i="2"/>
  <c r="E55" i="2"/>
  <c r="F55" i="2"/>
  <c r="G55" i="2"/>
  <c r="C55" i="2"/>
  <c r="G47" i="2"/>
  <c r="F47" i="2"/>
  <c r="E47" i="2"/>
  <c r="D47" i="2"/>
  <c r="C47" i="2"/>
  <c r="G41" i="2"/>
  <c r="F41" i="2"/>
  <c r="E41" i="2"/>
  <c r="D41" i="2"/>
  <c r="G39" i="2"/>
  <c r="F39" i="2"/>
  <c r="E39" i="2"/>
  <c r="D39" i="2"/>
  <c r="G38" i="2"/>
  <c r="F38" i="2"/>
  <c r="E38" i="2"/>
  <c r="D38" i="2"/>
  <c r="C41" i="2"/>
  <c r="C39" i="2"/>
  <c r="C38" i="2"/>
  <c r="G28" i="2"/>
  <c r="F28" i="2"/>
  <c r="E28" i="2"/>
  <c r="D28" i="2"/>
  <c r="G25" i="2"/>
  <c r="F25" i="2"/>
  <c r="E25" i="2"/>
  <c r="D25" i="2"/>
  <c r="C28" i="2"/>
  <c r="C25" i="2"/>
  <c r="G15" i="2"/>
  <c r="F15" i="2"/>
  <c r="E15" i="2"/>
  <c r="D15" i="2"/>
  <c r="C15" i="2"/>
  <c r="G14" i="2"/>
  <c r="F14" i="2"/>
  <c r="E14" i="2"/>
  <c r="D14" i="2"/>
  <c r="C14" i="2"/>
  <c r="N7" i="5"/>
  <c r="M7" i="5"/>
  <c r="L7" i="5"/>
  <c r="K7" i="5"/>
  <c r="J7" i="5"/>
  <c r="N13" i="5"/>
  <c r="M13" i="5"/>
  <c r="L13" i="5"/>
  <c r="K13" i="5"/>
  <c r="J13" i="5"/>
  <c r="G8" i="2"/>
  <c r="H8" i="2" s="1"/>
  <c r="H15" i="2" s="1"/>
  <c r="F8" i="2"/>
  <c r="E8" i="2"/>
  <c r="D8" i="2"/>
  <c r="C8" i="2"/>
  <c r="G7" i="2"/>
  <c r="H7" i="2" s="1"/>
  <c r="H14" i="2" s="1"/>
  <c r="F7" i="2"/>
  <c r="E7" i="2"/>
  <c r="D7" i="2"/>
  <c r="C7" i="2"/>
  <c r="O51" i="5"/>
  <c r="N51" i="5"/>
  <c r="M51" i="5"/>
  <c r="L51" i="5"/>
  <c r="K51" i="5"/>
  <c r="J51" i="5"/>
  <c r="I51" i="5"/>
  <c r="O50" i="5"/>
  <c r="N50" i="5"/>
  <c r="M50" i="5"/>
  <c r="L50" i="5"/>
  <c r="K50" i="5"/>
  <c r="J50" i="5"/>
  <c r="I50" i="5"/>
  <c r="O49" i="5"/>
  <c r="N49" i="5"/>
  <c r="M49" i="5"/>
  <c r="L49" i="5"/>
  <c r="K49" i="5"/>
  <c r="J49" i="5"/>
  <c r="I49" i="5"/>
  <c r="O48" i="5"/>
  <c r="N48" i="5"/>
  <c r="M48" i="5"/>
  <c r="L48" i="5"/>
  <c r="K48" i="5"/>
  <c r="J48" i="5"/>
  <c r="I48" i="5"/>
  <c r="O47" i="5"/>
  <c r="N47" i="5"/>
  <c r="M47" i="5"/>
  <c r="L47" i="5"/>
  <c r="K47" i="5"/>
  <c r="J47" i="5"/>
  <c r="I47" i="5"/>
  <c r="O46" i="5"/>
  <c r="N46" i="5"/>
  <c r="M46" i="5"/>
  <c r="L46" i="5"/>
  <c r="K46" i="5"/>
  <c r="J46" i="5"/>
  <c r="I46" i="5"/>
  <c r="O45" i="5"/>
  <c r="N45" i="5"/>
  <c r="M45" i="5"/>
  <c r="L45" i="5"/>
  <c r="K45" i="5"/>
  <c r="J45" i="5"/>
  <c r="I45" i="5"/>
  <c r="O44" i="5"/>
  <c r="N44" i="5"/>
  <c r="M44" i="5"/>
  <c r="L44" i="5"/>
  <c r="K44" i="5"/>
  <c r="J44" i="5"/>
  <c r="I44" i="5"/>
  <c r="O43" i="5"/>
  <c r="N43" i="5"/>
  <c r="M43" i="5"/>
  <c r="L43" i="5"/>
  <c r="K43" i="5"/>
  <c r="J43" i="5"/>
  <c r="I43" i="5"/>
  <c r="O42" i="5"/>
  <c r="N42" i="5"/>
  <c r="M42" i="5"/>
  <c r="L42" i="5"/>
  <c r="K42" i="5"/>
  <c r="J42" i="5"/>
  <c r="I42" i="5"/>
  <c r="O41" i="5"/>
  <c r="N41" i="5"/>
  <c r="M41" i="5"/>
  <c r="L41" i="5"/>
  <c r="K41" i="5"/>
  <c r="J41" i="5"/>
  <c r="I41" i="5"/>
  <c r="O40" i="5"/>
  <c r="N40" i="5"/>
  <c r="M40" i="5"/>
  <c r="L40" i="5"/>
  <c r="K40" i="5"/>
  <c r="J40" i="5"/>
  <c r="I40" i="5"/>
  <c r="O39" i="5"/>
  <c r="N39" i="5"/>
  <c r="M39" i="5"/>
  <c r="L39" i="5"/>
  <c r="K39" i="5"/>
  <c r="J39" i="5"/>
  <c r="I39" i="5"/>
  <c r="O38" i="5"/>
  <c r="N38" i="5"/>
  <c r="M38" i="5"/>
  <c r="L38" i="5"/>
  <c r="K38" i="5"/>
  <c r="J38" i="5"/>
  <c r="I38" i="5"/>
  <c r="O37" i="5"/>
  <c r="N37" i="5"/>
  <c r="M37" i="5"/>
  <c r="L37" i="5"/>
  <c r="K37" i="5"/>
  <c r="J37" i="5"/>
  <c r="I37" i="5"/>
  <c r="O36" i="5"/>
  <c r="N36" i="5"/>
  <c r="M36" i="5"/>
  <c r="L36" i="5"/>
  <c r="K36" i="5"/>
  <c r="J36" i="5"/>
  <c r="I36" i="5"/>
  <c r="O35" i="5"/>
  <c r="N35" i="5"/>
  <c r="M35" i="5"/>
  <c r="L35" i="5"/>
  <c r="K35" i="5"/>
  <c r="J35" i="5"/>
  <c r="I35" i="5"/>
  <c r="O34" i="5"/>
  <c r="N34" i="5"/>
  <c r="M34" i="5"/>
  <c r="L34" i="5"/>
  <c r="K34" i="5"/>
  <c r="J34" i="5"/>
  <c r="I34" i="5"/>
  <c r="O33" i="5"/>
  <c r="N33" i="5"/>
  <c r="M33" i="5"/>
  <c r="L33" i="5"/>
  <c r="K33" i="5"/>
  <c r="J33" i="5"/>
  <c r="I33" i="5"/>
  <c r="O32" i="5"/>
  <c r="N32" i="5"/>
  <c r="M32" i="5"/>
  <c r="L32" i="5"/>
  <c r="K32" i="5"/>
  <c r="J32" i="5"/>
  <c r="I32" i="5"/>
  <c r="O31" i="5"/>
  <c r="N31" i="5"/>
  <c r="M31" i="5"/>
  <c r="L31" i="5"/>
  <c r="K31" i="5"/>
  <c r="J31" i="5"/>
  <c r="I31" i="5"/>
  <c r="O30" i="5"/>
  <c r="N30" i="5"/>
  <c r="M30" i="5"/>
  <c r="L30" i="5"/>
  <c r="K30" i="5"/>
  <c r="J30" i="5"/>
  <c r="I30" i="5"/>
  <c r="O29" i="5"/>
  <c r="N29" i="5"/>
  <c r="M29" i="5"/>
  <c r="L29" i="5"/>
  <c r="K29" i="5"/>
  <c r="J29" i="5"/>
  <c r="I29" i="5"/>
  <c r="O28" i="5"/>
  <c r="N28" i="5"/>
  <c r="M28" i="5"/>
  <c r="L28" i="5"/>
  <c r="K28" i="5"/>
  <c r="J28" i="5"/>
  <c r="O27" i="5"/>
  <c r="N27" i="5"/>
  <c r="M27" i="5"/>
  <c r="L27" i="5"/>
  <c r="K27" i="5"/>
  <c r="J27" i="5"/>
  <c r="I27" i="5"/>
  <c r="O26" i="5"/>
  <c r="N26" i="5"/>
  <c r="M26" i="5"/>
  <c r="L26" i="5"/>
  <c r="K26" i="5"/>
  <c r="J26" i="5"/>
  <c r="I26" i="5"/>
  <c r="O25" i="5"/>
  <c r="N25" i="5"/>
  <c r="M25" i="5"/>
  <c r="L25" i="5"/>
  <c r="K25" i="5"/>
  <c r="J25" i="5"/>
  <c r="I25" i="5"/>
  <c r="O24" i="5"/>
  <c r="N24" i="5"/>
  <c r="M24" i="5"/>
  <c r="L24" i="5"/>
  <c r="K24" i="5"/>
  <c r="J24" i="5"/>
  <c r="I24" i="5"/>
  <c r="O23" i="5"/>
  <c r="N23" i="5"/>
  <c r="M23" i="5"/>
  <c r="L23" i="5"/>
  <c r="K23" i="5"/>
  <c r="J23" i="5"/>
  <c r="I23" i="5"/>
  <c r="O22" i="5"/>
  <c r="N22" i="5"/>
  <c r="M22" i="5"/>
  <c r="L22" i="5"/>
  <c r="K22" i="5"/>
  <c r="J22" i="5"/>
  <c r="I22" i="5"/>
  <c r="O21" i="5"/>
  <c r="N21" i="5"/>
  <c r="M21" i="5"/>
  <c r="L21" i="5"/>
  <c r="K21" i="5"/>
  <c r="J21" i="5"/>
  <c r="I21" i="5"/>
  <c r="O20" i="5"/>
  <c r="N20" i="5"/>
  <c r="M20" i="5"/>
  <c r="L20" i="5"/>
  <c r="K20" i="5"/>
  <c r="J20" i="5"/>
  <c r="I20" i="5"/>
  <c r="O19" i="5"/>
  <c r="N19" i="5"/>
  <c r="M19" i="5"/>
  <c r="L19" i="5"/>
  <c r="K19" i="5"/>
  <c r="J19" i="5"/>
  <c r="I19" i="5"/>
  <c r="O18" i="5"/>
  <c r="N18" i="5"/>
  <c r="M18" i="5"/>
  <c r="L18" i="5"/>
  <c r="K18" i="5"/>
  <c r="J18" i="5"/>
  <c r="I18" i="5"/>
  <c r="O17" i="5"/>
  <c r="N17" i="5"/>
  <c r="M17" i="5"/>
  <c r="L17" i="5"/>
  <c r="K17" i="5"/>
  <c r="J17" i="5"/>
  <c r="I17" i="5"/>
  <c r="O16" i="5"/>
  <c r="N16" i="5"/>
  <c r="M16" i="5"/>
  <c r="L16" i="5"/>
  <c r="K16" i="5"/>
  <c r="J16" i="5"/>
  <c r="I16" i="5"/>
  <c r="O15" i="5"/>
  <c r="N15" i="5"/>
  <c r="M15" i="5"/>
  <c r="L15" i="5"/>
  <c r="K15" i="5"/>
  <c r="J15" i="5"/>
  <c r="I15" i="5"/>
  <c r="O14" i="5"/>
  <c r="N14" i="5"/>
  <c r="M14" i="5"/>
  <c r="L14" i="5"/>
  <c r="K14" i="5"/>
  <c r="J14" i="5"/>
  <c r="I14" i="5"/>
  <c r="N10" i="5"/>
  <c r="M10" i="5"/>
  <c r="L10" i="5"/>
  <c r="K10" i="5"/>
  <c r="J10" i="5"/>
  <c r="I10" i="5"/>
  <c r="O9" i="5"/>
  <c r="N9" i="5"/>
  <c r="M9" i="5"/>
  <c r="L9" i="5"/>
  <c r="K9" i="5"/>
  <c r="J9" i="5"/>
  <c r="I9" i="5"/>
  <c r="O8" i="5"/>
  <c r="N8" i="5"/>
  <c r="M8" i="5"/>
  <c r="L8" i="5"/>
  <c r="K8" i="5"/>
  <c r="J8" i="5"/>
  <c r="I8" i="5"/>
  <c r="O4" i="5"/>
  <c r="N4" i="5"/>
  <c r="M4" i="5"/>
  <c r="L4" i="5"/>
  <c r="K4" i="5"/>
  <c r="J4" i="5"/>
  <c r="O3" i="5"/>
  <c r="N3" i="5"/>
  <c r="M3" i="5"/>
  <c r="L3" i="5"/>
  <c r="K3" i="5"/>
  <c r="J3" i="5"/>
  <c r="I3" i="5"/>
  <c r="O2" i="5"/>
  <c r="N2" i="5"/>
  <c r="M2" i="5"/>
  <c r="L2" i="5"/>
  <c r="K2" i="5"/>
  <c r="J2" i="5"/>
  <c r="I2" i="5"/>
  <c r="G22" i="4"/>
  <c r="F22" i="4"/>
  <c r="E22" i="4"/>
  <c r="D22" i="4"/>
  <c r="C22" i="4"/>
  <c r="F43" i="3"/>
  <c r="D43" i="3"/>
  <c r="F36" i="3"/>
  <c r="E36" i="3"/>
  <c r="E16" i="4" s="1"/>
  <c r="E29" i="4" s="1"/>
  <c r="D36" i="3"/>
  <c r="D16" i="4" s="1"/>
  <c r="D29" i="4" s="1"/>
  <c r="C36" i="3"/>
  <c r="C16" i="4" s="1"/>
  <c r="F14" i="3"/>
  <c r="F14" i="4" s="1"/>
  <c r="D14" i="3"/>
  <c r="D14" i="4" s="1"/>
  <c r="C14" i="3"/>
  <c r="C14" i="4" s="1"/>
  <c r="F43" i="1"/>
  <c r="H41" i="1" l="1"/>
  <c r="H43" i="1" s="1"/>
  <c r="K41" i="1"/>
  <c r="K43" i="1" s="1"/>
  <c r="J41" i="1"/>
  <c r="J43" i="1" s="1"/>
  <c r="I41" i="1"/>
  <c r="I43" i="1" s="1"/>
  <c r="K42" i="2"/>
  <c r="J42" i="2"/>
  <c r="D45" i="8"/>
  <c r="B11" i="13" s="1"/>
  <c r="H34" i="3"/>
  <c r="I39" i="3"/>
  <c r="I43" i="3" s="1"/>
  <c r="B14" i="11"/>
  <c r="L42" i="2"/>
  <c r="H7" i="14"/>
  <c r="G13" i="11"/>
  <c r="E5" i="14"/>
  <c r="G5" i="14" s="1"/>
  <c r="E9" i="14"/>
  <c r="H9" i="14" s="1"/>
  <c r="E10" i="14"/>
  <c r="H10" i="14" s="1"/>
  <c r="E6" i="14"/>
  <c r="H6" i="14" s="1"/>
  <c r="G7" i="14"/>
  <c r="H11" i="14"/>
  <c r="G11" i="14"/>
  <c r="H42" i="2"/>
  <c r="H8" i="14"/>
  <c r="G8" i="14"/>
  <c r="B10" i="11"/>
  <c r="D7" i="8"/>
  <c r="N8" i="8" s="1"/>
  <c r="D8" i="8"/>
  <c r="D11" i="8"/>
  <c r="D48" i="8"/>
  <c r="D12" i="8"/>
  <c r="C10" i="2"/>
  <c r="C7" i="4" s="1"/>
  <c r="C57" i="4" s="1"/>
  <c r="I8" i="2"/>
  <c r="I15" i="2" s="1"/>
  <c r="H18" i="2"/>
  <c r="H10" i="2"/>
  <c r="I7" i="2"/>
  <c r="I14" i="2" s="1"/>
  <c r="D32" i="2"/>
  <c r="G10" i="2"/>
  <c r="F32" i="2"/>
  <c r="F18" i="2"/>
  <c r="C53" i="3"/>
  <c r="C18" i="4" s="1"/>
  <c r="G45" i="3"/>
  <c r="G17" i="4" s="1"/>
  <c r="F45" i="3"/>
  <c r="F17" i="4" s="1"/>
  <c r="E14" i="3"/>
  <c r="E14" i="4" s="1"/>
  <c r="E28" i="4" s="1"/>
  <c r="C25" i="3"/>
  <c r="C27" i="3" s="1"/>
  <c r="F25" i="3"/>
  <c r="D27" i="3"/>
  <c r="D15" i="4" s="1"/>
  <c r="D34" i="4" s="1"/>
  <c r="G27" i="3"/>
  <c r="C29" i="4"/>
  <c r="P55" i="6"/>
  <c r="E32" i="1"/>
  <c r="G32" i="1"/>
  <c r="C32" i="1"/>
  <c r="D32" i="1"/>
  <c r="F32" i="1"/>
  <c r="P33" i="6"/>
  <c r="G42" i="2"/>
  <c r="D18" i="2"/>
  <c r="D19" i="2" s="1"/>
  <c r="G18" i="2"/>
  <c r="E32" i="2"/>
  <c r="G32" i="2"/>
  <c r="C18" i="2"/>
  <c r="C32" i="2"/>
  <c r="D42" i="2"/>
  <c r="E42" i="2"/>
  <c r="F42" i="2"/>
  <c r="E18" i="2"/>
  <c r="C22" i="1"/>
  <c r="C48" i="1" s="1"/>
  <c r="C49" i="1" s="1"/>
  <c r="F22" i="1"/>
  <c r="F21" i="4" s="1"/>
  <c r="G22" i="1"/>
  <c r="G53" i="1" s="1"/>
  <c r="G23" i="4" s="1"/>
  <c r="D22" i="1"/>
  <c r="D53" i="1" s="1"/>
  <c r="D23" i="4" s="1"/>
  <c r="E22" i="1"/>
  <c r="E48" i="1" s="1"/>
  <c r="E49" i="1" s="1"/>
  <c r="C42" i="2"/>
  <c r="P13" i="5"/>
  <c r="P7" i="5"/>
  <c r="F10" i="2"/>
  <c r="E10" i="2"/>
  <c r="D10" i="2"/>
  <c r="C28" i="4"/>
  <c r="C27" i="4"/>
  <c r="D28" i="4"/>
  <c r="D27" i="4"/>
  <c r="F16" i="4"/>
  <c r="F29" i="4" s="1"/>
  <c r="E27" i="3"/>
  <c r="G16" i="4"/>
  <c r="G29" i="4" s="1"/>
  <c r="F27" i="3"/>
  <c r="C45" i="3"/>
  <c r="D45" i="3"/>
  <c r="E45" i="3"/>
  <c r="B45" i="11" l="1"/>
  <c r="D58" i="8"/>
  <c r="D59" i="8" s="1"/>
  <c r="D62" i="8" s="1"/>
  <c r="B19" i="11"/>
  <c r="F23" i="11" s="1"/>
  <c r="H35" i="3"/>
  <c r="H13" i="3"/>
  <c r="H10" i="1"/>
  <c r="H48" i="3" s="1"/>
  <c r="H25" i="1"/>
  <c r="C12" i="11" s="1"/>
  <c r="H11" i="3"/>
  <c r="H20" i="1"/>
  <c r="I34" i="3"/>
  <c r="J39" i="3"/>
  <c r="J43" i="3"/>
  <c r="K39" i="3"/>
  <c r="C15" i="4"/>
  <c r="C52" i="4" s="1"/>
  <c r="C57" i="3"/>
  <c r="C58" i="3" s="1"/>
  <c r="H5" i="14"/>
  <c r="G6" i="14"/>
  <c r="G9" i="14"/>
  <c r="G10" i="14"/>
  <c r="H11" i="2"/>
  <c r="C5" i="11"/>
  <c r="E23" i="11"/>
  <c r="C23" i="11"/>
  <c r="D23" i="11"/>
  <c r="B23" i="11"/>
  <c r="B24" i="11" s="1"/>
  <c r="G19" i="2"/>
  <c r="F19" i="2"/>
  <c r="H19" i="2"/>
  <c r="E19" i="2"/>
  <c r="D7" i="4"/>
  <c r="D52" i="4" s="1"/>
  <c r="D11" i="2"/>
  <c r="E7" i="4"/>
  <c r="E57" i="4" s="1"/>
  <c r="E11" i="2"/>
  <c r="F7" i="4"/>
  <c r="F57" i="4" s="1"/>
  <c r="F11" i="2"/>
  <c r="G11" i="2"/>
  <c r="H55" i="2"/>
  <c r="H28" i="2"/>
  <c r="H25" i="2"/>
  <c r="C21" i="2"/>
  <c r="G7" i="4"/>
  <c r="G57" i="4" s="1"/>
  <c r="D22" i="8"/>
  <c r="H10" i="3" s="1"/>
  <c r="D18" i="8"/>
  <c r="D17" i="8"/>
  <c r="D13" i="8"/>
  <c r="G21" i="2"/>
  <c r="D24" i="8"/>
  <c r="H31" i="3" s="1"/>
  <c r="H18" i="1" s="1"/>
  <c r="D23" i="8"/>
  <c r="H12" i="3" s="1"/>
  <c r="D14" i="8"/>
  <c r="H21" i="2"/>
  <c r="H22" i="2" s="1"/>
  <c r="J7" i="2"/>
  <c r="I10" i="2"/>
  <c r="J8" i="2"/>
  <c r="J15" i="2" s="1"/>
  <c r="F55" i="3"/>
  <c r="F57" i="3" s="1"/>
  <c r="G55" i="3"/>
  <c r="G57" i="3" s="1"/>
  <c r="G58" i="3" s="1"/>
  <c r="E27" i="4"/>
  <c r="G28" i="4"/>
  <c r="F27" i="4"/>
  <c r="F28" i="4"/>
  <c r="G27" i="4"/>
  <c r="D48" i="1"/>
  <c r="D49" i="1" s="1"/>
  <c r="F53" i="1"/>
  <c r="F23" i="4" s="1"/>
  <c r="F48" i="1"/>
  <c r="F49" i="1" s="1"/>
  <c r="C53" i="1"/>
  <c r="C23" i="4" s="1"/>
  <c r="C43" i="4" s="1"/>
  <c r="C21" i="4"/>
  <c r="G21" i="4"/>
  <c r="E21" i="4"/>
  <c r="D21" i="4"/>
  <c r="E53" i="1"/>
  <c r="E23" i="4" s="1"/>
  <c r="G48" i="1"/>
  <c r="G49" i="1" s="1"/>
  <c r="F21" i="2"/>
  <c r="E21" i="2"/>
  <c r="D21" i="2"/>
  <c r="F15" i="4"/>
  <c r="G32" i="4"/>
  <c r="G35" i="4"/>
  <c r="F32" i="4"/>
  <c r="F35" i="4"/>
  <c r="E15" i="4"/>
  <c r="G15" i="4"/>
  <c r="C17" i="4"/>
  <c r="C55" i="3"/>
  <c r="E17" i="4"/>
  <c r="E55" i="3"/>
  <c r="E57" i="3" s="1"/>
  <c r="D17" i="4"/>
  <c r="D55" i="3"/>
  <c r="D57" i="3" s="1"/>
  <c r="G23" i="11" l="1"/>
  <c r="H9" i="1"/>
  <c r="C7" i="11" s="1"/>
  <c r="C11" i="11" s="1"/>
  <c r="H18" i="3"/>
  <c r="J34" i="3"/>
  <c r="I20" i="1"/>
  <c r="H17" i="3"/>
  <c r="H52" i="1"/>
  <c r="H32" i="1"/>
  <c r="I13" i="3"/>
  <c r="H17" i="1"/>
  <c r="H15" i="1"/>
  <c r="I10" i="1"/>
  <c r="I48" i="3" s="1"/>
  <c r="I25" i="1"/>
  <c r="D12" i="11" s="1"/>
  <c r="I10" i="3"/>
  <c r="I35" i="3"/>
  <c r="H19" i="1"/>
  <c r="K43" i="3"/>
  <c r="L39" i="3"/>
  <c r="L43" i="3" s="1"/>
  <c r="C34" i="4"/>
  <c r="H36" i="3"/>
  <c r="H45" i="3" s="1"/>
  <c r="I11" i="2"/>
  <c r="D5" i="11"/>
  <c r="D57" i="4"/>
  <c r="F43" i="4"/>
  <c r="C34" i="2"/>
  <c r="C35" i="2" s="1"/>
  <c r="C22" i="2"/>
  <c r="E34" i="2"/>
  <c r="E56" i="2" s="1"/>
  <c r="E57" i="2" s="1"/>
  <c r="E22" i="2"/>
  <c r="F34" i="2"/>
  <c r="F22" i="2"/>
  <c r="G8" i="4"/>
  <c r="G39" i="4" s="1"/>
  <c r="G22" i="2"/>
  <c r="E43" i="4"/>
  <c r="D34" i="2"/>
  <c r="D22" i="2"/>
  <c r="D43" i="4"/>
  <c r="C8" i="4"/>
  <c r="C39" i="4" s="1"/>
  <c r="I55" i="2"/>
  <c r="I25" i="2"/>
  <c r="I28" i="2"/>
  <c r="J14" i="2"/>
  <c r="G34" i="2"/>
  <c r="G43" i="4"/>
  <c r="I18" i="2"/>
  <c r="I11" i="3" s="1"/>
  <c r="H32" i="2"/>
  <c r="H34" i="2" s="1"/>
  <c r="K8" i="2"/>
  <c r="K15" i="2" s="1"/>
  <c r="K7" i="2"/>
  <c r="K14" i="2" s="1"/>
  <c r="J10" i="2"/>
  <c r="F8" i="4"/>
  <c r="F39" i="4" s="1"/>
  <c r="D8" i="4"/>
  <c r="D39" i="4" s="1"/>
  <c r="E8" i="4"/>
  <c r="E39" i="4" s="1"/>
  <c r="G34" i="4"/>
  <c r="G52" i="4"/>
  <c r="G33" i="4"/>
  <c r="E34" i="4"/>
  <c r="E52" i="4"/>
  <c r="F34" i="4"/>
  <c r="F52" i="4"/>
  <c r="D35" i="4"/>
  <c r="D32" i="4"/>
  <c r="D33" i="4"/>
  <c r="E35" i="4"/>
  <c r="E32" i="4"/>
  <c r="E33" i="4"/>
  <c r="C33" i="4"/>
  <c r="C35" i="4"/>
  <c r="C32" i="4"/>
  <c r="F33" i="4"/>
  <c r="I18" i="3" l="1"/>
  <c r="I15" i="1"/>
  <c r="J13" i="3"/>
  <c r="I17" i="1"/>
  <c r="I52" i="1"/>
  <c r="I32" i="1"/>
  <c r="J20" i="1"/>
  <c r="K34" i="3"/>
  <c r="I19" i="1"/>
  <c r="J35" i="3"/>
  <c r="J10" i="3"/>
  <c r="J25" i="1"/>
  <c r="E12" i="11" s="1"/>
  <c r="J10" i="1"/>
  <c r="J48" i="3" s="1"/>
  <c r="I17" i="3"/>
  <c r="H19" i="3"/>
  <c r="H25" i="3" s="1"/>
  <c r="I31" i="3"/>
  <c r="I12" i="3"/>
  <c r="I16" i="1" s="1"/>
  <c r="I9" i="1"/>
  <c r="D7" i="11" s="1"/>
  <c r="D11" i="11" s="1"/>
  <c r="H16" i="1"/>
  <c r="J11" i="2"/>
  <c r="E5" i="11"/>
  <c r="H35" i="2"/>
  <c r="C8" i="11"/>
  <c r="C56" i="2"/>
  <c r="C10" i="4"/>
  <c r="C41" i="4" s="1"/>
  <c r="C44" i="2"/>
  <c r="C49" i="2" s="1"/>
  <c r="C60" i="2" s="1"/>
  <c r="E9" i="4"/>
  <c r="E40" i="4" s="1"/>
  <c r="E10" i="4"/>
  <c r="E41" i="4" s="1"/>
  <c r="D44" i="2"/>
  <c r="D49" i="2" s="1"/>
  <c r="D60" i="2" s="1"/>
  <c r="D35" i="2"/>
  <c r="F44" i="2"/>
  <c r="F49" i="2" s="1"/>
  <c r="F54" i="2" s="1"/>
  <c r="F35" i="2"/>
  <c r="E44" i="2"/>
  <c r="E49" i="2" s="1"/>
  <c r="E35" i="2"/>
  <c r="G44" i="2"/>
  <c r="G49" i="2" s="1"/>
  <c r="G60" i="2" s="1"/>
  <c r="G35" i="2"/>
  <c r="F10" i="4"/>
  <c r="F48" i="4" s="1"/>
  <c r="F56" i="2"/>
  <c r="F57" i="2" s="1"/>
  <c r="I21" i="2"/>
  <c r="I22" i="2" s="1"/>
  <c r="I19" i="2"/>
  <c r="D10" i="4"/>
  <c r="D48" i="4" s="1"/>
  <c r="I32" i="2"/>
  <c r="D56" i="2"/>
  <c r="D57" i="2" s="1"/>
  <c r="G10" i="4"/>
  <c r="G49" i="4" s="1"/>
  <c r="G56" i="2"/>
  <c r="J55" i="2"/>
  <c r="J18" i="3" s="1"/>
  <c r="J25" i="2"/>
  <c r="J28" i="2"/>
  <c r="H56" i="2"/>
  <c r="H44" i="2"/>
  <c r="H47" i="2" s="1"/>
  <c r="C9" i="11" s="1"/>
  <c r="J18" i="2"/>
  <c r="L7" i="2"/>
  <c r="L14" i="2" s="1"/>
  <c r="K10" i="2"/>
  <c r="L8" i="2"/>
  <c r="L15" i="2" s="1"/>
  <c r="E49" i="4"/>
  <c r="C54" i="2"/>
  <c r="C11" i="4"/>
  <c r="C49" i="4" l="1"/>
  <c r="C48" i="4"/>
  <c r="K20" i="1"/>
  <c r="L34" i="3"/>
  <c r="L20" i="1" s="1"/>
  <c r="J12" i="3"/>
  <c r="J16" i="1" s="1"/>
  <c r="J31" i="3"/>
  <c r="J17" i="3"/>
  <c r="I19" i="3"/>
  <c r="I25" i="3" s="1"/>
  <c r="J9" i="1"/>
  <c r="E7" i="11" s="1"/>
  <c r="E11" i="11" s="1"/>
  <c r="K35" i="3"/>
  <c r="J19" i="1"/>
  <c r="I18" i="1"/>
  <c r="I36" i="3"/>
  <c r="I45" i="3" s="1"/>
  <c r="K13" i="3"/>
  <c r="J17" i="1"/>
  <c r="K10" i="3"/>
  <c r="K10" i="1"/>
  <c r="K48" i="3" s="1"/>
  <c r="K25" i="1"/>
  <c r="F12" i="11" s="1"/>
  <c r="J52" i="1"/>
  <c r="J32" i="1"/>
  <c r="J11" i="3"/>
  <c r="J15" i="1" s="1"/>
  <c r="C10" i="11"/>
  <c r="C14" i="11" s="1"/>
  <c r="C24" i="11" s="1"/>
  <c r="K11" i="2"/>
  <c r="F5" i="11"/>
  <c r="H57" i="2"/>
  <c r="C6" i="11"/>
  <c r="G57" i="2"/>
  <c r="B6" i="11"/>
  <c r="E48" i="4"/>
  <c r="D49" i="4"/>
  <c r="E36" i="4"/>
  <c r="D41" i="4"/>
  <c r="C9" i="4"/>
  <c r="C57" i="2"/>
  <c r="D9" i="4"/>
  <c r="G9" i="4"/>
  <c r="G36" i="4" s="1"/>
  <c r="F9" i="4"/>
  <c r="F40" i="4" s="1"/>
  <c r="F49" i="4"/>
  <c r="F41" i="4"/>
  <c r="D11" i="4"/>
  <c r="D46" i="4" s="1"/>
  <c r="D54" i="2"/>
  <c r="F60" i="2"/>
  <c r="D27" i="8"/>
  <c r="I34" i="2"/>
  <c r="F11" i="4"/>
  <c r="F56" i="4" s="1"/>
  <c r="G41" i="4"/>
  <c r="G48" i="4"/>
  <c r="E54" i="2"/>
  <c r="E60" i="2"/>
  <c r="E11" i="4"/>
  <c r="J21" i="2"/>
  <c r="J22" i="2" s="1"/>
  <c r="J19" i="2"/>
  <c r="G54" i="2"/>
  <c r="G11" i="4"/>
  <c r="G47" i="4" s="1"/>
  <c r="J32" i="2"/>
  <c r="K55" i="2"/>
  <c r="K18" i="3" s="1"/>
  <c r="K25" i="2"/>
  <c r="K28" i="2"/>
  <c r="H49" i="2"/>
  <c r="K18" i="2"/>
  <c r="L18" i="2"/>
  <c r="L10" i="2"/>
  <c r="C42" i="4"/>
  <c r="C46" i="4"/>
  <c r="C47" i="4"/>
  <c r="C58" i="4"/>
  <c r="C56" i="4"/>
  <c r="K52" i="1" l="1"/>
  <c r="K32" i="1"/>
  <c r="K17" i="3"/>
  <c r="J19" i="3"/>
  <c r="J25" i="3" s="1"/>
  <c r="J18" i="1"/>
  <c r="J36" i="3"/>
  <c r="J45" i="3" s="1"/>
  <c r="L35" i="3"/>
  <c r="L19" i="1" s="1"/>
  <c r="K19" i="1"/>
  <c r="K12" i="3"/>
  <c r="K16" i="1" s="1"/>
  <c r="K31" i="3"/>
  <c r="H7" i="1"/>
  <c r="H22" i="1" s="1"/>
  <c r="H49" i="3"/>
  <c r="L13" i="3"/>
  <c r="L17" i="1" s="1"/>
  <c r="K17" i="1"/>
  <c r="L25" i="1"/>
  <c r="G12" i="11" s="1"/>
  <c r="L10" i="3"/>
  <c r="L10" i="1"/>
  <c r="L48" i="3" s="1"/>
  <c r="L12" i="3"/>
  <c r="L31" i="3"/>
  <c r="K9" i="1"/>
  <c r="F7" i="11" s="1"/>
  <c r="F11" i="11" s="1"/>
  <c r="K11" i="3"/>
  <c r="L11" i="3" s="1"/>
  <c r="I56" i="2"/>
  <c r="D8" i="11"/>
  <c r="L11" i="2"/>
  <c r="G5" i="11"/>
  <c r="H54" i="2"/>
  <c r="H50" i="2"/>
  <c r="C40" i="4"/>
  <c r="C36" i="4"/>
  <c r="G40" i="4"/>
  <c r="F36" i="4"/>
  <c r="D56" i="4"/>
  <c r="D42" i="4"/>
  <c r="D58" i="4"/>
  <c r="D40" i="4"/>
  <c r="D36" i="4"/>
  <c r="D47" i="4"/>
  <c r="F42" i="4"/>
  <c r="F46" i="4"/>
  <c r="G61" i="2"/>
  <c r="L19" i="2"/>
  <c r="I44" i="2"/>
  <c r="I47" i="2" s="1"/>
  <c r="D9" i="11" s="1"/>
  <c r="I35" i="2"/>
  <c r="J34" i="2"/>
  <c r="F47" i="4"/>
  <c r="F58" i="4"/>
  <c r="E56" i="4"/>
  <c r="E58" i="4"/>
  <c r="E42" i="4"/>
  <c r="E46" i="4"/>
  <c r="E47" i="4"/>
  <c r="G56" i="4"/>
  <c r="G58" i="4"/>
  <c r="G46" i="4"/>
  <c r="K21" i="2"/>
  <c r="K22" i="2" s="1"/>
  <c r="K19" i="2"/>
  <c r="G42" i="4"/>
  <c r="L55" i="2"/>
  <c r="L18" i="3" s="1"/>
  <c r="L25" i="2"/>
  <c r="L28" i="2"/>
  <c r="L21" i="2"/>
  <c r="L22" i="2" s="1"/>
  <c r="K32" i="2"/>
  <c r="L15" i="1" l="1"/>
  <c r="L9" i="1"/>
  <c r="G7" i="11" s="1"/>
  <c r="G11" i="11" s="1"/>
  <c r="L17" i="3"/>
  <c r="L19" i="3" s="1"/>
  <c r="L25" i="3" s="1"/>
  <c r="K19" i="3"/>
  <c r="K25" i="3" s="1"/>
  <c r="H53" i="3"/>
  <c r="H55" i="3" s="1"/>
  <c r="H48" i="1"/>
  <c r="H49" i="1" s="1"/>
  <c r="H53" i="1"/>
  <c r="K15" i="1"/>
  <c r="K18" i="1"/>
  <c r="K36" i="3"/>
  <c r="K45" i="3" s="1"/>
  <c r="B18" i="13"/>
  <c r="L32" i="1"/>
  <c r="L52" i="1"/>
  <c r="L18" i="1"/>
  <c r="L36" i="3"/>
  <c r="L45" i="3" s="1"/>
  <c r="L16" i="1"/>
  <c r="D10" i="11"/>
  <c r="D14" i="11" s="1"/>
  <c r="J56" i="2"/>
  <c r="E8" i="11"/>
  <c r="I57" i="2"/>
  <c r="D6" i="11"/>
  <c r="K34" i="2"/>
  <c r="I49" i="2"/>
  <c r="I7" i="1" s="1"/>
  <c r="I22" i="1" s="1"/>
  <c r="J35" i="2"/>
  <c r="J44" i="2"/>
  <c r="J47" i="2" s="1"/>
  <c r="L32" i="2"/>
  <c r="L34" i="2" s="1"/>
  <c r="H8" i="3" l="1"/>
  <c r="H14" i="3" s="1"/>
  <c r="H27" i="3" s="1"/>
  <c r="H57" i="3" s="1"/>
  <c r="H58" i="3" s="1"/>
  <c r="I46" i="1"/>
  <c r="I49" i="3"/>
  <c r="I53" i="1"/>
  <c r="I48" i="1"/>
  <c r="D24" i="11"/>
  <c r="L35" i="2"/>
  <c r="G8" i="11"/>
  <c r="K35" i="2"/>
  <c r="F8" i="11"/>
  <c r="J57" i="2"/>
  <c r="E6" i="11"/>
  <c r="J49" i="2"/>
  <c r="E9" i="11"/>
  <c r="E10" i="11" s="1"/>
  <c r="E14" i="11" s="1"/>
  <c r="K56" i="2"/>
  <c r="K44" i="2"/>
  <c r="K47" i="2" s="1"/>
  <c r="F9" i="11" s="1"/>
  <c r="I54" i="2"/>
  <c r="I50" i="2"/>
  <c r="L56" i="2"/>
  <c r="L44" i="2"/>
  <c r="L47" i="2" s="1"/>
  <c r="G9" i="11" s="1"/>
  <c r="G10" i="11" s="1"/>
  <c r="G14" i="11" s="1"/>
  <c r="I49" i="1" l="1"/>
  <c r="J46" i="1" s="1"/>
  <c r="J54" i="2"/>
  <c r="J7" i="1"/>
  <c r="J22" i="1" s="1"/>
  <c r="J49" i="3"/>
  <c r="I53" i="3"/>
  <c r="I55" i="3" s="1"/>
  <c r="I8" i="3"/>
  <c r="I14" i="3" s="1"/>
  <c r="I27" i="3" s="1"/>
  <c r="I57" i="3" s="1"/>
  <c r="I58" i="3" s="1"/>
  <c r="F10" i="11"/>
  <c r="F14" i="11" s="1"/>
  <c r="E7" i="12" s="1"/>
  <c r="K57" i="2"/>
  <c r="F6" i="11"/>
  <c r="L57" i="2"/>
  <c r="B20" i="13" s="1"/>
  <c r="G6" i="11"/>
  <c r="B19" i="13" s="1"/>
  <c r="K49" i="2"/>
  <c r="E24" i="11"/>
  <c r="B29" i="11"/>
  <c r="B31" i="11" s="1"/>
  <c r="G24" i="11"/>
  <c r="J50" i="2"/>
  <c r="L49" i="2"/>
  <c r="L7" i="1" s="1"/>
  <c r="L22" i="1" s="1"/>
  <c r="K50" i="2" l="1"/>
  <c r="K7" i="1"/>
  <c r="K22" i="1" s="1"/>
  <c r="L48" i="1"/>
  <c r="L53" i="1"/>
  <c r="K49" i="3"/>
  <c r="J53" i="3"/>
  <c r="J55" i="3" s="1"/>
  <c r="J48" i="1"/>
  <c r="J49" i="1" s="1"/>
  <c r="J53" i="1"/>
  <c r="F7" i="12"/>
  <c r="B9" i="12"/>
  <c r="F10" i="12"/>
  <c r="D6" i="12"/>
  <c r="D8" i="12"/>
  <c r="E9" i="12"/>
  <c r="K54" i="2"/>
  <c r="D7" i="12"/>
  <c r="E8" i="12"/>
  <c r="F9" i="12"/>
  <c r="D9" i="12"/>
  <c r="D10" i="12"/>
  <c r="C8" i="12"/>
  <c r="B8" i="12"/>
  <c r="F6" i="12"/>
  <c r="B6" i="12"/>
  <c r="C10" i="12"/>
  <c r="B7" i="12"/>
  <c r="C7" i="12"/>
  <c r="E10" i="12"/>
  <c r="C6" i="12"/>
  <c r="F8" i="12"/>
  <c r="C9" i="12"/>
  <c r="F24" i="11"/>
  <c r="B25" i="11" s="1"/>
  <c r="E6" i="12"/>
  <c r="B10" i="12"/>
  <c r="B28" i="11"/>
  <c r="B30" i="11"/>
  <c r="B32" i="11" s="1"/>
  <c r="L54" i="2"/>
  <c r="L50" i="2"/>
  <c r="K46" i="1" l="1"/>
  <c r="J8" i="3"/>
  <c r="J14" i="3" s="1"/>
  <c r="J27" i="3" s="1"/>
  <c r="J57" i="3" s="1"/>
  <c r="J58" i="3" s="1"/>
  <c r="L49" i="3"/>
  <c r="L53" i="3" s="1"/>
  <c r="L55" i="3" s="1"/>
  <c r="K53" i="3"/>
  <c r="K55" i="3" s="1"/>
  <c r="K48" i="1"/>
  <c r="K53" i="1"/>
  <c r="B36" i="11"/>
  <c r="B41" i="11" s="1"/>
  <c r="B35" i="11"/>
  <c r="B40" i="11" s="1"/>
  <c r="K49" i="1" l="1"/>
  <c r="B43" i="11"/>
  <c r="B25" i="13" s="1"/>
  <c r="B22" i="13"/>
  <c r="B44" i="11"/>
  <c r="B23" i="13"/>
  <c r="B26" i="13" l="1"/>
  <c r="C45" i="11"/>
  <c r="L46" i="1"/>
  <c r="L49" i="1" s="1"/>
  <c r="L8" i="3" s="1"/>
  <c r="L14" i="3" s="1"/>
  <c r="L27" i="3" s="1"/>
  <c r="L57" i="3" s="1"/>
  <c r="L58" i="3" s="1"/>
  <c r="K8" i="3"/>
  <c r="K14" i="3" s="1"/>
  <c r="K27" i="3" s="1"/>
  <c r="K57" i="3" s="1"/>
  <c r="K58" i="3" s="1"/>
  <c r="L59" i="3" l="1"/>
  <c r="J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</author>
  </authors>
  <commentList>
    <comment ref="D22" authorId="0" shapeId="0" xr:uid="{EE36AD19-BA98-4C94-933A-957A9D0EA07D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Not required in current model</t>
        </r>
      </text>
    </comment>
    <comment ref="D23" authorId="0" shapeId="0" xr:uid="{99A974A1-ABAA-4876-8FE5-771C03171F48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Not required in current model</t>
        </r>
      </text>
    </comment>
    <comment ref="D24" authorId="0" shapeId="0" xr:uid="{0EA820CF-93AD-48FF-9E14-0555C119CE29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Not required in current model</t>
        </r>
      </text>
    </comment>
    <comment ref="D28" authorId="0" shapeId="0" xr:uid="{40597785-D0DA-42A2-9417-B780E2350587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Can't extrapolate accurately from current info</t>
        </r>
      </text>
    </comment>
    <comment ref="D29" authorId="0" shapeId="0" xr:uid="{40A933EA-5498-4BDD-BDA7-50D7CE073C66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Can't extrapolate accurately from current info</t>
        </r>
      </text>
    </comment>
    <comment ref="D39" authorId="0" shapeId="0" xr:uid="{93CE7104-9776-462D-A585-4888C569FD4F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=D36+D38*D37</t>
        </r>
      </text>
    </comment>
    <comment ref="D42" authorId="0" shapeId="0" xr:uid="{1DBA4AF9-BDF8-4B85-ADB0-BAC9D241F0A3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=D40*(1-D41)</t>
        </r>
      </text>
    </comment>
    <comment ref="D45" authorId="0" shapeId="0" xr:uid="{D5F64C29-CF58-4034-830B-C9903B3F145F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=D39*D43+D42*D44</t>
        </r>
      </text>
    </comment>
    <comment ref="B49" authorId="0" shapeId="0" xr:uid="{BD6DCD5A-4FD0-4DA4-B75B-A2D23D263C0A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Buyback initiative by APPL</t>
        </r>
      </text>
    </comment>
    <comment ref="B50" authorId="0" shapeId="0" xr:uid="{AF9939A2-DD68-4018-BDB5-64721EDA7AF5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Issue new diluted shares to employees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</author>
    <author>User</author>
  </authors>
  <commentList>
    <comment ref="B49" authorId="0" shapeId="0" xr:uid="{ED746825-302A-4847-8D75-25CE348E53C9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Non-GAAP/Cash Flow Method. NI value based on this method because we excluded Amortization, SBC, WC</t>
        </r>
      </text>
    </comment>
    <comment ref="B59" authorId="1" shapeId="0" xr:uid="{090C55D2-B10A-4DD1-A05E-1164B77DC1A9}">
      <text>
        <r>
          <rPr>
            <b/>
            <sz val="9"/>
            <color indexed="81"/>
            <rFont val="Tahoma"/>
            <family val="2"/>
          </rPr>
          <t xml:space="preserve">BB: (From 10-K)
</t>
        </r>
        <r>
          <rPr>
            <sz val="9"/>
            <color indexed="81"/>
            <rFont val="Tahoma"/>
            <family val="2"/>
          </rPr>
          <t>Net Income after:
- Foreign Currency Translation 
- Derivative Instruments 
- Marketable Debt Securities</t>
        </r>
      </text>
    </comment>
    <comment ref="B60" authorId="0" shapeId="0" xr:uid="{E38FCA84-3A86-4E9D-94EA-1387D01A617E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To check whether NI fluctuates more than 5% from Comprehensive Income. For assessment only.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0" authorId="0" shapeId="0" xr:uid="{6F0704D4-B550-4613-B1D5-5E2DD0B92BF1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Opposite of acquisitions (eg. Sell-off)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</author>
  </authors>
  <commentList>
    <comment ref="J32" authorId="0" shapeId="0" xr:uid="{3ED44953-BA0E-4D9D-983E-0C7904973E22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Adjusted by 400 million. Speculated that value was corrected in more recent reports.</t>
        </r>
      </text>
    </comment>
    <comment ref="J54" authorId="0" shapeId="0" xr:uid="{F4658271-9855-4801-A5B5-FEEBB2E7F24C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Adjusted. Speculated that value was corrected in more recent reports.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</author>
  </authors>
  <commentList>
    <comment ref="B52" authorId="0" shapeId="0" xr:uid="{57C04FE4-ACBB-4440-978E-57C4DCF516F4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APPL is not majority-owned by another company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</author>
  </authors>
  <commentList>
    <comment ref="J54" authorId="0" shapeId="0" xr:uid="{78C0E5DF-2195-4F98-BE0F-764B1D2028FB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Adjusted. Speculated that value was corrected in more recent reports.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</author>
  </authors>
  <commentList>
    <comment ref="A13" authorId="0" shapeId="0" xr:uid="{6FEF9765-F75F-4C93-AF1A-110A6434625C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(+) means more operating assets used. 
(-) means more cash at hand</t>
        </r>
      </text>
    </comment>
    <comment ref="A14" authorId="0" shapeId="0" xr:uid="{D7243F71-D13A-4F33-8A31-8232688BF52F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UFCF usually &gt; FCF as it excludes debt payments (interest)</t>
        </r>
      </text>
    </comment>
    <comment ref="A39" authorId="0" shapeId="0" xr:uid="{4DC7E901-7FD6-42C2-BD30-A85F3BD40C64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Cash &amp; Cash equivalents + Market securities - Commerical paper - STD - LTD</t>
        </r>
      </text>
    </comment>
    <comment ref="B45" authorId="0" shapeId="0" xr:uid="{5D8C3CBC-7EF2-4595-9301-74269E7EDA4F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Market Value of Shares is hyper-inflated from Book Value due to non-tangible assets like brand loyalty, company's moat, projected revenue growth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</author>
  </authors>
  <commentList>
    <comment ref="C17" authorId="0" shapeId="0" xr:uid="{445DEC80-83CF-4E25-90E7-98F8A87B8BFD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Assumptions used are not saved. To add this feature in the future.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</author>
  </authors>
  <commentList>
    <comment ref="A14" authorId="0" shapeId="0" xr:uid="{813B594C-E1D7-42CD-9EDB-FAB61D3153F8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APPL has (-) Net Debt/ (+) Net Current Assts. Very liquid assets &gt; Very liquid liabilites</t>
        </r>
      </text>
    </comment>
  </commentList>
</comments>
</file>

<file path=xl/sharedStrings.xml><?xml version="1.0" encoding="utf-8"?>
<sst xmlns="http://schemas.openxmlformats.org/spreadsheetml/2006/main" count="955" uniqueCount="654">
  <si>
    <t>Cash Flow Statement</t>
  </si>
  <si>
    <t>USD ($000s)</t>
  </si>
  <si>
    <t>FY2021</t>
  </si>
  <si>
    <t>FY2022</t>
  </si>
  <si>
    <t>FY2023</t>
  </si>
  <si>
    <t>FY2024</t>
  </si>
  <si>
    <t>OPERATING ACTIVITIES</t>
  </si>
  <si>
    <t>Net Income</t>
  </si>
  <si>
    <t xml:space="preserve">    Non-Cash Adjustments:</t>
  </si>
  <si>
    <t>Depreciation &amp; Amortization</t>
  </si>
  <si>
    <t>Stock-Based Compensation</t>
  </si>
  <si>
    <t>Deferred Income Taxes</t>
  </si>
  <si>
    <t>Impairment Charges</t>
  </si>
  <si>
    <t>Other Non-Cash Items</t>
  </si>
  <si>
    <t xml:space="preserve">    Changes in Working Capital:</t>
  </si>
  <si>
    <t>(Increase) / Decrease in Inventories</t>
  </si>
  <si>
    <t>(Increase) / Decrease in Prepaid &amp; Other</t>
  </si>
  <si>
    <t>Increase / (Decrease) in Accounts Payable</t>
  </si>
  <si>
    <t>Increase / (Decrease) in Accrued Liabilities</t>
  </si>
  <si>
    <t>Increase / (Decrease) in Deferred Revenue</t>
  </si>
  <si>
    <t>Other Changes in Working Capital</t>
  </si>
  <si>
    <t>Net Cash from Operating Activities (CFO)</t>
  </si>
  <si>
    <t>INVESTING ACTIVITIES</t>
  </si>
  <si>
    <t>Capital Expenditures (CapEx)</t>
  </si>
  <si>
    <t>Purchases of Short-Term Investments</t>
  </si>
  <si>
    <t>Proceeds from Sale of Investments</t>
  </si>
  <si>
    <t>Acquisitions, net of Cash Acquired</t>
  </si>
  <si>
    <t>Proceeds from Divestitures</t>
  </si>
  <si>
    <t>Other Investing Activities</t>
  </si>
  <si>
    <t>Net Cash from Investing Activities (CFI)</t>
  </si>
  <si>
    <t>FINANCING ACTIVITIES</t>
  </si>
  <si>
    <t>Proceeds from Equity Issuance</t>
  </si>
  <si>
    <t>Share Repurchases / Buybacks</t>
  </si>
  <si>
    <t>Dividends Paid</t>
  </si>
  <si>
    <t>Other Financing Activities</t>
  </si>
  <si>
    <t>Net Cash from Financing Activities (CFF)</t>
  </si>
  <si>
    <t>CASH RECONCILIATION</t>
  </si>
  <si>
    <t>Beginning Cash &amp; Cash Equivalents</t>
  </si>
  <si>
    <t>Effect of Exchange Rate Changes</t>
  </si>
  <si>
    <t>Net Change in Cash</t>
  </si>
  <si>
    <t>Ending Cash &amp; Cash Equivalents</t>
  </si>
  <si>
    <t>FREE CASH FLOW</t>
  </si>
  <si>
    <t>Capital Expenditures (CapEx)  [re-enter from above]</t>
  </si>
  <si>
    <t>Free Cash Flow (FCF)</t>
  </si>
  <si>
    <t>Income Statement</t>
  </si>
  <si>
    <t>REVENUE</t>
  </si>
  <si>
    <t>Product Revenue</t>
  </si>
  <si>
    <t>Service Revenue</t>
  </si>
  <si>
    <t>Other Revenue</t>
  </si>
  <si>
    <t>Total Revenue (Net Sales)</t>
  </si>
  <si>
    <t>COST OF GOODS SOLD (COGS)</t>
  </si>
  <si>
    <t>Cost of Products Sold</t>
  </si>
  <si>
    <t>Depreciation in COGS</t>
  </si>
  <si>
    <t>Other COGS</t>
  </si>
  <si>
    <t>Total COGS</t>
  </si>
  <si>
    <t>GROSS PROFIT</t>
  </si>
  <si>
    <t>OPERATING EXPENSES</t>
  </si>
  <si>
    <t>Research &amp; Development</t>
  </si>
  <si>
    <t>Sales &amp; Marketing</t>
  </si>
  <si>
    <t>General &amp; Administrative</t>
  </si>
  <si>
    <t>Depreciation &amp; Amortization (ex. COGS)</t>
  </si>
  <si>
    <t>Restructuring &amp; Other Charges</t>
  </si>
  <si>
    <t>Other Operating Expenses / (Income)</t>
  </si>
  <si>
    <t>Total Operating Expenses</t>
  </si>
  <si>
    <t>OPERATING INCOME (EBIT)</t>
  </si>
  <si>
    <t>NON-OPERATING ITEMS</t>
  </si>
  <si>
    <t>Interest Expense</t>
  </si>
  <si>
    <t>Interest Income</t>
  </si>
  <si>
    <t>Gain / (Loss) on Investments</t>
  </si>
  <si>
    <t>Other Non-Operating Income / (Expense)</t>
  </si>
  <si>
    <t>Total Non-Operating Items</t>
  </si>
  <si>
    <t>INCOME BEFORE TAXES (EBT)</t>
  </si>
  <si>
    <t>INCOME TAXES</t>
  </si>
  <si>
    <t>Income Tax Expense / (Benefit)</t>
  </si>
  <si>
    <t>NET INCOME</t>
  </si>
  <si>
    <t>SUPPLEMENTAL DATA</t>
  </si>
  <si>
    <t>D&amp;A (total, for EBITDA bridge)</t>
  </si>
  <si>
    <t>EBITDA</t>
  </si>
  <si>
    <t>Diluted EPS</t>
  </si>
  <si>
    <t>Balance Sheet</t>
  </si>
  <si>
    <t>ASSETS</t>
  </si>
  <si>
    <t xml:space="preserve">  Current Assets</t>
  </si>
  <si>
    <t>Cash &amp; Cash Equivalents</t>
  </si>
  <si>
    <t>Short-Term Investments</t>
  </si>
  <si>
    <t>Accounts Receivable, net</t>
  </si>
  <si>
    <t>Inventories</t>
  </si>
  <si>
    <t>Prepaid Expenses &amp; Other Current Assets</t>
  </si>
  <si>
    <t>Total Current Assets</t>
  </si>
  <si>
    <t xml:space="preserve">  Non-Current Assets</t>
  </si>
  <si>
    <t>Property, Plant &amp; Equipment, gross</t>
  </si>
  <si>
    <t>Less: Accumulated Depreciation</t>
  </si>
  <si>
    <t>PP&amp;E, net</t>
  </si>
  <si>
    <t>Goodwill</t>
  </si>
  <si>
    <t>Intangible Assets, net</t>
  </si>
  <si>
    <t>Long-Term Investments</t>
  </si>
  <si>
    <t>Deferred Tax Assets</t>
  </si>
  <si>
    <t>Other Non-Current Assets</t>
  </si>
  <si>
    <t>Total Non-Current Assets</t>
  </si>
  <si>
    <t>TOTAL ASSETS</t>
  </si>
  <si>
    <t>LIABILITIES &amp; SHAREHOLDERS' EQUITY</t>
  </si>
  <si>
    <t xml:space="preserve">  Current Liabilities</t>
  </si>
  <si>
    <t>Accounts Payable</t>
  </si>
  <si>
    <t>Short-Term Debt &amp; Current Portion of LTD</t>
  </si>
  <si>
    <t>Deferred Revenue (current)</t>
  </si>
  <si>
    <t>Other Current Liabilities</t>
  </si>
  <si>
    <t>Total Current Liabilities</t>
  </si>
  <si>
    <t xml:space="preserve">  Non-Current Liabilities</t>
  </si>
  <si>
    <t>Long-Term Debt</t>
  </si>
  <si>
    <t>Deferred Tax Liabilities</t>
  </si>
  <si>
    <t>Pension &amp; Post-Retirement Obligations</t>
  </si>
  <si>
    <t>Other Non-Current Liabilities</t>
  </si>
  <si>
    <t>Total Non-Current Liabilities</t>
  </si>
  <si>
    <t>Total Liabilities</t>
  </si>
  <si>
    <t xml:space="preserve">  Shareholders' Equity</t>
  </si>
  <si>
    <t>Common Stock &amp; Additional Paid-In Capital</t>
  </si>
  <si>
    <t>Retained Earnings / (Deficit)</t>
  </si>
  <si>
    <t>Accumulated Other Comprehensive Income / (Loss)</t>
  </si>
  <si>
    <t>Treasury Stock</t>
  </si>
  <si>
    <t>Non-Controlling Interests</t>
  </si>
  <si>
    <t>Total Shareholders' Equity</t>
  </si>
  <si>
    <t>TOTAL LIABILITIES &amp; EQUITY</t>
  </si>
  <si>
    <t>Balance Sheet Check (Assets – L&amp;E)  →  Should be $0</t>
  </si>
  <si>
    <t>Financial Summary &amp; Key Ratios</t>
  </si>
  <si>
    <t>Formulas auto-calculated from Balance Sheet, Income Statement, and Cash Flow tabs  |  Green text = cross-sheet link</t>
  </si>
  <si>
    <t>INCOME STATEMENT HIGHLIGHTS</t>
  </si>
  <si>
    <t>Total Revenue ($000s)</t>
  </si>
  <si>
    <t>Gross Profit ($000s)</t>
  </si>
  <si>
    <t>EBITDA ($000s)</t>
  </si>
  <si>
    <t>EBIT / Operating Income ($000s)</t>
  </si>
  <si>
    <t>Net Income ($000s)</t>
  </si>
  <si>
    <t>BALANCE SHEET HIGHLIGHTS</t>
  </si>
  <si>
    <t>Total Current Assets ($000s)</t>
  </si>
  <si>
    <t>Total Assets ($000s)</t>
  </si>
  <si>
    <t>Total Current Liabilities ($000s)</t>
  </si>
  <si>
    <t>Total Liabilities ($000s)</t>
  </si>
  <si>
    <t>Total Shareholders' Equity ($000s)</t>
  </si>
  <si>
    <t>CASH FLOW HIGHLIGHTS</t>
  </si>
  <si>
    <t>Operating Cash Flow (CFO) ($000s)</t>
  </si>
  <si>
    <t>Capital Expenditures ($000s)</t>
  </si>
  <si>
    <t>Free Cash Flow (FCF) ($000s)</t>
  </si>
  <si>
    <t>KEY FINANCIAL RATIOS</t>
  </si>
  <si>
    <t xml:space="preserve">  Liquidity Ratios</t>
  </si>
  <si>
    <t>Current Ratio</t>
  </si>
  <si>
    <t>Quick Ratio  (approx. ex-Inventory)</t>
  </si>
  <si>
    <t>Cash Ratio</t>
  </si>
  <si>
    <t xml:space="preserve">  Leverage &amp; Solvency Ratios</t>
  </si>
  <si>
    <t>Debt-to-Equity  (Total Liabilities / Equity)</t>
  </si>
  <si>
    <t>Total Debt-to-Assets  (Total Liabilities / Total Assets)</t>
  </si>
  <si>
    <t>Equity Multiplier  (Total Assets / Equity)</t>
  </si>
  <si>
    <t>Net Debt  (Total Liabilities – Current Assets)</t>
  </si>
  <si>
    <t>Net Debt / EBITDA</t>
  </si>
  <si>
    <t xml:space="preserve">  Profitability Margins</t>
  </si>
  <si>
    <t>Gross Margin</t>
  </si>
  <si>
    <t>EBITDA Margin</t>
  </si>
  <si>
    <t>EBIT Margin  (Operating Margin)</t>
  </si>
  <si>
    <t>Net Profit Margin</t>
  </si>
  <si>
    <t>FCF Margin  (FCF / Revenue)</t>
  </si>
  <si>
    <t xml:space="preserve">  Return Ratios</t>
  </si>
  <si>
    <t>Return on Equity  (ROE = NI / Equity)</t>
  </si>
  <si>
    <t>Return on Assets  (ROA = NI / Total Assets)</t>
  </si>
  <si>
    <t>Return on Invested Capital  (ROIC = EBIT / (Assets – Current Liabilities))</t>
  </si>
  <si>
    <t>Return on Capital Employed  (ROCE = EBIT / (Assets – Current Liab))</t>
  </si>
  <si>
    <t xml:space="preserve">  Efficiency Ratios</t>
  </si>
  <si>
    <t>Asset Turnover  (Revenue / Total Assets)</t>
  </si>
  <si>
    <t>Revenue per Employee  (enter headcount in CFO section as memo)</t>
  </si>
  <si>
    <t>"-"</t>
  </si>
  <si>
    <t xml:space="preserve">  Cash Flow Ratios</t>
  </si>
  <si>
    <t>CFO-to-Net Income</t>
  </si>
  <si>
    <t>CapEx Intensity  (CapEx / Revenue)</t>
  </si>
  <si>
    <t>FCF Conversion  (FCF / Net Income)</t>
  </si>
  <si>
    <t>Blue text</t>
  </si>
  <si>
    <t>Black text</t>
  </si>
  <si>
    <t>Green text</t>
  </si>
  <si>
    <t>FY2025</t>
  </si>
  <si>
    <t>Historical Financial Analysis  |  All figures in USD ($millions)  |  Inputs in Blue</t>
  </si>
  <si>
    <t>AAPL_income-statement_Annual_As_Originally_Reported</t>
  </si>
  <si>
    <t>2021</t>
  </si>
  <si>
    <t>2022</t>
  </si>
  <si>
    <t>2023</t>
  </si>
  <si>
    <t>2024</t>
  </si>
  <si>
    <t>2025</t>
  </si>
  <si>
    <t>TTM</t>
  </si>
  <si>
    <t>Gross Profit</t>
  </si>
  <si>
    <t xml:space="preserve">    Total Revenue</t>
  </si>
  <si>
    <t xml:space="preserve">        Cost of Goods and Services</t>
  </si>
  <si>
    <t>Operating Income/Expenses</t>
  </si>
  <si>
    <t xml:space="preserve">    Selling, General and Administrative Expenses</t>
  </si>
  <si>
    <t xml:space="preserve">    Research and Development Expenses</t>
  </si>
  <si>
    <t>Total Operating Profit/Loss</t>
  </si>
  <si>
    <t>Non-Operating Income/Expense, Total</t>
  </si>
  <si>
    <t xml:space="preserve">    Other Income/Expense, Non-Operating</t>
  </si>
  <si>
    <t xml:space="preserve">    Total Net Finance Income/Expense</t>
  </si>
  <si>
    <t/>
  </si>
  <si>
    <t xml:space="preserve">        Net Interest Income/Expense</t>
  </si>
  <si>
    <t xml:space="preserve">            Interest Expense Net of Capitalized Interest</t>
  </si>
  <si>
    <t xml:space="preserve">            Interest Income</t>
  </si>
  <si>
    <t>Pretax Income</t>
  </si>
  <si>
    <t>Provision for Income Tax</t>
  </si>
  <si>
    <t>Net Income before Extraordinary Items and Discontinued Operations</t>
  </si>
  <si>
    <t>Net Income after Extraordinary Items and Discontinued Operations</t>
  </si>
  <si>
    <t>Net Income after Non-Controlling/Minority Interests</t>
  </si>
  <si>
    <t>Net Income Available to Common Stockholders</t>
  </si>
  <si>
    <t>Diluted Net Income Available to Common Stockholders</t>
  </si>
  <si>
    <t>Income Statement Supplemental Section</t>
  </si>
  <si>
    <t xml:space="preserve">    Reported Normalized and Operating Income/Expense Supplemental Section</t>
  </si>
  <si>
    <t xml:space="preserve">        Total Revenue as Reported, Supplemental</t>
  </si>
  <si>
    <t xml:space="preserve">        Reported Operating Expense</t>
  </si>
  <si>
    <t xml:space="preserve">        Reported Total Operating Profit/Loss</t>
  </si>
  <si>
    <t xml:space="preserve">        Reported Effective Tax Rate</t>
  </si>
  <si>
    <t xml:space="preserve">        Reported Normalized Income</t>
  </si>
  <si>
    <t>Basic EPS</t>
  </si>
  <si>
    <t xml:space="preserve">    Basic EPS from Continuing Operations</t>
  </si>
  <si>
    <t xml:space="preserve">    Diluted EPS from Continuing Operations</t>
  </si>
  <si>
    <t>Basic Weighted Average Shares Outstanding</t>
  </si>
  <si>
    <t>Diluted Weighted Average Shares Outstanding</t>
  </si>
  <si>
    <t>Total Dividend Per Share</t>
  </si>
  <si>
    <t xml:space="preserve">    Regular Dividend Per Share Calc</t>
  </si>
  <si>
    <t>Reported Normalized Diluted EPS</t>
  </si>
  <si>
    <t>Basic WASO</t>
  </si>
  <si>
    <t>Diluted WASO</t>
  </si>
  <si>
    <t>Fiscal year ends in Sep 30 | USD</t>
  </si>
  <si>
    <t>RAW</t>
  </si>
  <si>
    <t>ADJUSTED</t>
  </si>
  <si>
    <t>CHECK</t>
  </si>
  <si>
    <t xml:space="preserve">       -Products</t>
  </si>
  <si>
    <t xml:space="preserve">       -Services</t>
  </si>
  <si>
    <t xml:space="preserve">    Business Revenue</t>
  </si>
  <si>
    <t>Cost of Revenue</t>
  </si>
  <si>
    <t xml:space="preserve">    -Products</t>
  </si>
  <si>
    <t xml:space="preserve">    -Services</t>
  </si>
  <si>
    <t>Cost of Services Sold</t>
  </si>
  <si>
    <t>SG&amp;A</t>
  </si>
  <si>
    <t>Total Comprehensive Income</t>
  </si>
  <si>
    <t>AAPL_cash-flow_Annual_As_Originally_Reported</t>
  </si>
  <si>
    <t>Cash Flow from Operating Activities, Indirect</t>
  </si>
  <si>
    <t xml:space="preserve">    Net Cash Flow from Continuing Operating Activities, Indirect</t>
  </si>
  <si>
    <t xml:space="preserve">        Cash Generated from Operating Activities</t>
  </si>
  <si>
    <t xml:space="preserve">            Income/Loss before Non-Cash Adjustment</t>
  </si>
  <si>
    <t xml:space="preserve">            Total Adjustments for Non-Cash Items</t>
  </si>
  <si>
    <t xml:space="preserve">                Depreciation, Amortization and Depletion, Non-Cash Adjustment</t>
  </si>
  <si>
    <t xml:space="preserve">                    Depreciation and Amortization, Non-Cash Adjustment</t>
  </si>
  <si>
    <t xml:space="preserve">                Stock-Based Compensation, Non-Cash Adjustment</t>
  </si>
  <si>
    <t xml:space="preserve">                Other Non-Cash Items</t>
  </si>
  <si>
    <t xml:space="preserve">                Deferred Taxes, Non-Cash Adjustment</t>
  </si>
  <si>
    <t xml:space="preserve">            Changes in Operating Capital</t>
  </si>
  <si>
    <t xml:space="preserve">                Change in Inventories</t>
  </si>
  <si>
    <t xml:space="preserve">                Change in Trade and Other Receivables</t>
  </si>
  <si>
    <t xml:space="preserve">                    Change in Trade/Accounts Receivable</t>
  </si>
  <si>
    <t xml:space="preserve">                    Change in Other Receivables</t>
  </si>
  <si>
    <t xml:space="preserve">                Change in Other Current Assets</t>
  </si>
  <si>
    <t xml:space="preserve">                Change in Payables and Accrued Expenses</t>
  </si>
  <si>
    <t xml:space="preserve">                    Change in Trade and Other Payables</t>
  </si>
  <si>
    <t xml:space="preserve">                        Change in Trade/Accounts Payable</t>
  </si>
  <si>
    <t xml:space="preserve">                Change in Other Current Liabilities</t>
  </si>
  <si>
    <t xml:space="preserve">                Change in Deferred Assets/Liabilities</t>
  </si>
  <si>
    <t>Cash Flow from Investing Activities</t>
  </si>
  <si>
    <t xml:space="preserve">    Cash Flow from Continuing Investing Activities</t>
  </si>
  <si>
    <t xml:space="preserve">        Purchase/Sale and Disposal of Property, Plant and Equipment, Net</t>
  </si>
  <si>
    <t xml:space="preserve">            Purchase of Property, Plant and Equipment</t>
  </si>
  <si>
    <t xml:space="preserve">        Purchase/Sale of Investments, Net</t>
  </si>
  <si>
    <t xml:space="preserve">            Purchase of Investments</t>
  </si>
  <si>
    <t xml:space="preserve">            Sale of Investments</t>
  </si>
  <si>
    <t xml:space="preserve">        Other Investing Cash Flow</t>
  </si>
  <si>
    <t xml:space="preserve">        Purchase/Sale of Business, Net</t>
  </si>
  <si>
    <t xml:space="preserve">            Purchase/Acquisition of Business</t>
  </si>
  <si>
    <t xml:space="preserve">        Purchase/Sale of Intangibles, Net</t>
  </si>
  <si>
    <t xml:space="preserve">            Purchase of Intangibles</t>
  </si>
  <si>
    <t>Cash Flow from Financing Activities</t>
  </si>
  <si>
    <t xml:space="preserve">    Cash Flow from Continuing Financing Activities</t>
  </si>
  <si>
    <t xml:space="preserve">        Issuance of/Payments for Common Stock, Net</t>
  </si>
  <si>
    <t xml:space="preserve">            Payments for Common Stock</t>
  </si>
  <si>
    <t xml:space="preserve">            Proceeds from Issuance of Common Stock</t>
  </si>
  <si>
    <t xml:space="preserve">        Issuance of/Repayments for Debt, Net</t>
  </si>
  <si>
    <t xml:space="preserve">            Issuance of/Repayments for Short Term Debt, Net</t>
  </si>
  <si>
    <t xml:space="preserve">            Issuance of/Repayments for Long Term Debt, Net</t>
  </si>
  <si>
    <t xml:space="preserve">                Proceeds from Issuance of Long Term Debt</t>
  </si>
  <si>
    <t xml:space="preserve">                Repayments for Long Term Debt</t>
  </si>
  <si>
    <t xml:space="preserve">        Cash Dividends and Interest Paid</t>
  </si>
  <si>
    <t xml:space="preserve">            Cash Dividends Paid</t>
  </si>
  <si>
    <t xml:space="preserve">                Common Stock Dividends Paid</t>
  </si>
  <si>
    <t xml:space="preserve">        Other Financing Cash Flow</t>
  </si>
  <si>
    <t xml:space="preserve">        Excess Tax Benefit from Share-Based Compensation, Financing Activities</t>
  </si>
  <si>
    <t>Cash and Cash Equivalents, End of Period</t>
  </si>
  <si>
    <t xml:space="preserve">    Change in Cash</t>
  </si>
  <si>
    <t xml:space="preserve">    Cash and Cash Equivalents, Beginning of Period</t>
  </si>
  <si>
    <t>Cash Flow Supplemental Section</t>
  </si>
  <si>
    <t xml:space="preserve">    Change in Cash as Reported, Supplemental</t>
  </si>
  <si>
    <t xml:space="preserve">    Income Tax Paid, Supplemental</t>
  </si>
  <si>
    <t xml:space="preserve">    Interest Paid, Supplemental</t>
  </si>
  <si>
    <t>Reconcialiation Check</t>
  </si>
  <si>
    <t>Fluctuation Check</t>
  </si>
  <si>
    <t>(Increase) / Decrease in Accounts Receivable &amp; Non-Trade Receivables</t>
  </si>
  <si>
    <t>Maturities of Short-Term Investments</t>
  </si>
  <si>
    <t xml:space="preserve">               -Sales of Marketable Securities</t>
  </si>
  <si>
    <t xml:space="preserve">               -Maturities of Marketable Securities</t>
  </si>
  <si>
    <t>Taxes related to net share settlement of equity awards</t>
  </si>
  <si>
    <t xml:space="preserve">               -Taxes related to net share settlement of equity awards</t>
  </si>
  <si>
    <t xml:space="preserve">               -Other</t>
  </si>
  <si>
    <t>Proceeds from Issuance of Short-Term Debt</t>
  </si>
  <si>
    <t>Proceeds from Issuance of Long-Term Debt</t>
  </si>
  <si>
    <t>Repayment of Long-Term Debt</t>
  </si>
  <si>
    <t>AAPL_balance-sheet_Annual_As_Originally_Reported</t>
  </si>
  <si>
    <t>Total Assets</t>
  </si>
  <si>
    <t xml:space="preserve">    Total Current Assets</t>
  </si>
  <si>
    <t xml:space="preserve">        Cash, Cash Equivalents and Short Term Investments</t>
  </si>
  <si>
    <t xml:space="preserve">            Cash and Cash Equivalents</t>
  </si>
  <si>
    <t xml:space="preserve">                Cash</t>
  </si>
  <si>
    <t xml:space="preserve">                Cash Equivalents</t>
  </si>
  <si>
    <t xml:space="preserve">            Short Term Investments</t>
  </si>
  <si>
    <t xml:space="preserve">                Other Short Term Investments</t>
  </si>
  <si>
    <t xml:space="preserve">        Inventories</t>
  </si>
  <si>
    <t xml:space="preserve">        Trade and Other Receivables, Current</t>
  </si>
  <si>
    <t xml:space="preserve">            Trade/Accounts Receivable, Current</t>
  </si>
  <si>
    <t xml:space="preserve">                Gross Trade/Accounts Receivable, Current</t>
  </si>
  <si>
    <t xml:space="preserve">                Allowance/Adjustments for Trade/Accounts Receivable, Current</t>
  </si>
  <si>
    <t xml:space="preserve">            Other Receivables, Current</t>
  </si>
  <si>
    <t xml:space="preserve">        Other Current Assets</t>
  </si>
  <si>
    <t xml:space="preserve">    Total Non-Current Assets</t>
  </si>
  <si>
    <t xml:space="preserve">        Net Property, Plant and Equipment</t>
  </si>
  <si>
    <t xml:space="preserve">            Gross Property, Plant and Equipment</t>
  </si>
  <si>
    <t xml:space="preserve">                Properties</t>
  </si>
  <si>
    <t xml:space="preserve">                    Land and Improvements</t>
  </si>
  <si>
    <t xml:space="preserve">                    Leasehold and Improvements</t>
  </si>
  <si>
    <t xml:space="preserve">                Machinery, Furniture and Equipment</t>
  </si>
  <si>
    <t xml:space="preserve">                    Plant and Machinery</t>
  </si>
  <si>
    <t xml:space="preserve">                Leased Property, Plant and Equipment</t>
  </si>
  <si>
    <t xml:space="preserve">            Accumulated Depreciation and Impairment</t>
  </si>
  <si>
    <t xml:space="preserve">                Accumulated Depreciation</t>
  </si>
  <si>
    <t xml:space="preserve">        Total Long Term Investments</t>
  </si>
  <si>
    <t xml:space="preserve">            Investment in Financial Assets, Non-Current</t>
  </si>
  <si>
    <t xml:space="preserve">                Other Financial Assets, Non-Current</t>
  </si>
  <si>
    <t xml:space="preserve">                Financial Investment Securities, Available-for-Sale &amp; Held-to-Maturity, Non-Current</t>
  </si>
  <si>
    <t xml:space="preserve">                    Available-for-Sale Securities, Non-Current</t>
  </si>
  <si>
    <t xml:space="preserve">            Other Investments, Non-Current</t>
  </si>
  <si>
    <t xml:space="preserve">        Deferred Tax Assets, Non-Current</t>
  </si>
  <si>
    <t xml:space="preserve">        Other Non-Current Assets</t>
  </si>
  <si>
    <t xml:space="preserve">        Net Intangible Assets</t>
  </si>
  <si>
    <t xml:space="preserve">            Gross Goodwill and Other Intangible Assets</t>
  </si>
  <si>
    <t xml:space="preserve">                Goodwill</t>
  </si>
  <si>
    <t xml:space="preserve">                Intangibles other than Goodwill</t>
  </si>
  <si>
    <t xml:space="preserve">                    Trademarks and Patents</t>
  </si>
  <si>
    <t xml:space="preserve">                    Other Intangible Assets</t>
  </si>
  <si>
    <t xml:space="preserve">            Accumulated Amortization and Impairment</t>
  </si>
  <si>
    <t xml:space="preserve">                Accumulated Amortization of Intangible Assets</t>
  </si>
  <si>
    <t xml:space="preserve">                    Accumulated Amortization of Intangibles other than Goodwill</t>
  </si>
  <si>
    <t xml:space="preserve">                        Accumulated Amortization of Other Intangible Assets</t>
  </si>
  <si>
    <t xml:space="preserve">    Total Current Liabilities</t>
  </si>
  <si>
    <t xml:space="preserve">        Payables and Accrued Expenses, Current</t>
  </si>
  <si>
    <t xml:space="preserve">            Trade and Other Payables, Current</t>
  </si>
  <si>
    <t xml:space="preserve">                Trade/Accounts Payable, Current</t>
  </si>
  <si>
    <t xml:space="preserve">                Taxes Payable, Current</t>
  </si>
  <si>
    <t xml:space="preserve">            Accrued Expenses, Current</t>
  </si>
  <si>
    <t xml:space="preserve">        Financial Liabilities, Current</t>
  </si>
  <si>
    <t xml:space="preserve">            Current Debt and Capital Lease Obligation</t>
  </si>
  <si>
    <t xml:space="preserve">                Current Debt</t>
  </si>
  <si>
    <t xml:space="preserve">                    Commercial Paper</t>
  </si>
  <si>
    <t xml:space="preserve">                Current Portion of Long Term Debt and Capital Lease</t>
  </si>
  <si>
    <t xml:space="preserve">                    Current Portion of Long Term Debt</t>
  </si>
  <si>
    <t xml:space="preserve">                        Other Current Portion of LT Debt</t>
  </si>
  <si>
    <t xml:space="preserve">                        Bank/Institutional Loans, Current Portion of LT Debt</t>
  </si>
  <si>
    <t xml:space="preserve">                    Capital Lease Obligations, Current</t>
  </si>
  <si>
    <t xml:space="preserve">        Deferred Liabilities, Current</t>
  </si>
  <si>
    <t xml:space="preserve">            Deferred Income/Customer Advances/Billings in Excess of Cost, Current</t>
  </si>
  <si>
    <t xml:space="preserve">        Other Current Liabilities</t>
  </si>
  <si>
    <t xml:space="preserve">    Total Non-Current Liabilities</t>
  </si>
  <si>
    <t xml:space="preserve">        Financial Liabilities, Non-Current</t>
  </si>
  <si>
    <t xml:space="preserve">            Long Term Debt and Capital Lease Obligation</t>
  </si>
  <si>
    <t xml:space="preserve">                Long Term Debt</t>
  </si>
  <si>
    <t xml:space="preserve">                    Notes Payables, Non-Current</t>
  </si>
  <si>
    <t xml:space="preserve">                    Bank/Institutional Loans, Non-Current</t>
  </si>
  <si>
    <t xml:space="preserve">                Capital Lease Obligations, Non-Current</t>
  </si>
  <si>
    <t xml:space="preserve">        Other Non-Current Liabilities</t>
  </si>
  <si>
    <t xml:space="preserve">        Payables and Accrued Expenses, Non-Current</t>
  </si>
  <si>
    <t xml:space="preserve">            Trade and Other Payables, Non-Current</t>
  </si>
  <si>
    <t xml:space="preserve">                Taxes Payable, Non-Current</t>
  </si>
  <si>
    <t xml:space="preserve">        Tax Liabilities, Non-Current</t>
  </si>
  <si>
    <t xml:space="preserve">            Deferred Tax Liabilities, Non-Current</t>
  </si>
  <si>
    <t xml:space="preserve">        Deferred Liabilities, Non-Current</t>
  </si>
  <si>
    <t xml:space="preserve">            Deferred Income/Customer Advances/Billings in Excess of Cost, Non-Current</t>
  </si>
  <si>
    <t>Total Equity</t>
  </si>
  <si>
    <t xml:space="preserve">    Equity Attributable to Parent Stockholders</t>
  </si>
  <si>
    <t xml:space="preserve">        Paid in Capital</t>
  </si>
  <si>
    <t xml:space="preserve">            Capital Stock</t>
  </si>
  <si>
    <t xml:space="preserve">        Retained Earnings/Accumulated Deficit</t>
  </si>
  <si>
    <t xml:space="preserve">        Reserves/Accumulated Comprehensive Income/Losses</t>
  </si>
  <si>
    <t xml:space="preserve">            Other Reserves/Accum.Comp.Inc</t>
  </si>
  <si>
    <t>Debt Maturity Schedule Total</t>
  </si>
  <si>
    <t xml:space="preserve">    Debt due in Year 1</t>
  </si>
  <si>
    <t xml:space="preserve">    Debt due in Year 2</t>
  </si>
  <si>
    <t xml:space="preserve">    Debt due in Year 3</t>
  </si>
  <si>
    <t xml:space="preserve">    Debt due in Year 4</t>
  </si>
  <si>
    <t xml:space="preserve">    Debt due in Year 5</t>
  </si>
  <si>
    <t xml:space="preserve">    Debt due Beyond</t>
  </si>
  <si>
    <t xml:space="preserve">    Debt - Interests Charges and Other Adjustments</t>
  </si>
  <si>
    <t>Capital Lease Obligation Maturity Schedule Total</t>
  </si>
  <si>
    <t xml:space="preserve">    Capital Lease due in Year 1</t>
  </si>
  <si>
    <t xml:space="preserve">    Capital Lease due in Year 2</t>
  </si>
  <si>
    <t xml:space="preserve">    Capital Lease due in Year 3</t>
  </si>
  <si>
    <t xml:space="preserve">    Capital Lease due in Year 4</t>
  </si>
  <si>
    <t xml:space="preserve">    Capital Lease due in Year 5</t>
  </si>
  <si>
    <t xml:space="preserve">    Capital Lease due Beyond</t>
  </si>
  <si>
    <t xml:space="preserve">    Capital Lease - Interests Charges and Other Adjustments</t>
  </si>
  <si>
    <t>Operating Lease Obligation Maturity Schedule Total</t>
  </si>
  <si>
    <t xml:space="preserve">    Operating Lease due in Year 1</t>
  </si>
  <si>
    <t xml:space="preserve">    Operating Lease due in Year 2</t>
  </si>
  <si>
    <t xml:space="preserve">    Operating Lease due in Year 3</t>
  </si>
  <si>
    <t xml:space="preserve">    Operating Lease due in Year 4</t>
  </si>
  <si>
    <t xml:space="preserve">    Operating Lease due Beyond</t>
  </si>
  <si>
    <t xml:space="preserve">    Operating Lease - Interests Charges and Other Adjustments</t>
  </si>
  <si>
    <t>Total Lease Liability</t>
  </si>
  <si>
    <t xml:space="preserve">    Total Lease Liability - Due in year 1</t>
  </si>
  <si>
    <t xml:space="preserve">    Total Lease Liability - Due in year 2</t>
  </si>
  <si>
    <t xml:space="preserve">    Total Lease Liability - Due in year 3</t>
  </si>
  <si>
    <t xml:space="preserve">    Total Lease Liability - Due in year 4</t>
  </si>
  <si>
    <t xml:space="preserve">    Total Lease Liability - Due in year 5</t>
  </si>
  <si>
    <t xml:space="preserve">    Total Lease Liability - Beyond</t>
  </si>
  <si>
    <t xml:space="preserve">    Total Lease Liability - Interest Charges and Other Adjustments</t>
  </si>
  <si>
    <t>Total Contractual Obligations</t>
  </si>
  <si>
    <t xml:space="preserve">    Total Contractual Obligations due in year 1</t>
  </si>
  <si>
    <t xml:space="preserve">    Total Contractual Obligations due in year 2</t>
  </si>
  <si>
    <t xml:space="preserve">    Total Contractual Obligations due in year 3</t>
  </si>
  <si>
    <t xml:space="preserve">    Total Contractual Obligations due in year 4</t>
  </si>
  <si>
    <t xml:space="preserve">    Total Contractual Obligations due in year 5</t>
  </si>
  <si>
    <t xml:space="preserve">    Total Contractual Obligations due Beyond</t>
  </si>
  <si>
    <t xml:space="preserve">    Total Contractual Obligations - Interests Charges and Other Adjustments</t>
  </si>
  <si>
    <t>Other Contractual Obligations Maturity Schedule Total</t>
  </si>
  <si>
    <t xml:space="preserve">    Other Contractual Obligations due in Year 1</t>
  </si>
  <si>
    <t xml:space="preserve">    Other Contractual Obligations due in Year 3</t>
  </si>
  <si>
    <t xml:space="preserve">    Other Contractual Obligations due in Year 5</t>
  </si>
  <si>
    <t xml:space="preserve">    Other Contractual Obligations due Beyond</t>
  </si>
  <si>
    <t>Vendor non-trade Receivables</t>
  </si>
  <si>
    <t>USD ($millions)</t>
  </si>
  <si>
    <t>Commerical Paper</t>
  </si>
  <si>
    <t>Model Version 1.0  |  All projections in USD ($millions)  |  Blue = editable input</t>
  </si>
  <si>
    <t>Assumption / Driver</t>
  </si>
  <si>
    <t>Notes / Source</t>
  </si>
  <si>
    <t>FY2025A</t>
  </si>
  <si>
    <t>FY2026E</t>
  </si>
  <si>
    <t>FY2027E</t>
  </si>
  <si>
    <t>FY2028E</t>
  </si>
  <si>
    <t>FY2029E</t>
  </si>
  <si>
    <t>FY2030E</t>
  </si>
  <si>
    <t xml:space="preserve">  1.  REVENUE GROWTH ASSUMPTIONS</t>
  </si>
  <si>
    <t>Product Revenue Growth (YoY %)</t>
  </si>
  <si>
    <t>iPhone, Mac, iPad, Wearables</t>
  </si>
  <si>
    <t>Services Revenue Growth (YoY %)</t>
  </si>
  <si>
    <t>App Store, AppleCare, iCloud, etc.</t>
  </si>
  <si>
    <t xml:space="preserve">  2.  MARGIN ASSUMPTIONS</t>
  </si>
  <si>
    <t>Product Gross Margin (%)</t>
  </si>
  <si>
    <t>Hardware margin; modest expansion from mix</t>
  </si>
  <si>
    <t>Services Gross Margin (%)</t>
  </si>
  <si>
    <t>High-margin software/services segment</t>
  </si>
  <si>
    <t>R&amp;D as % of Revenue</t>
  </si>
  <si>
    <t>Sustained investment in silicon, AI, XR</t>
  </si>
  <si>
    <t>SG&amp;A as % of Revenue</t>
  </si>
  <si>
    <t>Operating leverage on fixed cost base</t>
  </si>
  <si>
    <t xml:space="preserve">  3.  DEPRECIATION, AMORTIZATION &amp; CAPEX</t>
  </si>
  <si>
    <t>D&amp;A as % of Revenue</t>
  </si>
  <si>
    <t>Stable asset base; modest PP&amp;E growth</t>
  </si>
  <si>
    <t>CapEx Intensity (CapEx / Revenue)</t>
  </si>
  <si>
    <t>Data centre, retail, R&amp;D facilities</t>
  </si>
  <si>
    <t xml:space="preserve">  4.  WORKING CAPITAL DAYS</t>
  </si>
  <si>
    <t>Days Sales Outstanding (DSO)</t>
  </si>
  <si>
    <t>AR / Revenue × 365</t>
  </si>
  <si>
    <t>Days Inventory Outstanding (DIO)</t>
  </si>
  <si>
    <t>Inventory / COGS × 365</t>
  </si>
  <si>
    <t>Days Payable Outstanding (DPO)</t>
  </si>
  <si>
    <t>AP / COGS × 365</t>
  </si>
  <si>
    <t xml:space="preserve">  5.  TAX RATE &amp; INTEREST</t>
  </si>
  <si>
    <t>Effective Tax Rate (%)</t>
  </si>
  <si>
    <t>Blended rate; elevated FY24 normalises</t>
  </si>
  <si>
    <t>Interest Income Rate (% on avg. cash)</t>
  </si>
  <si>
    <t>Short-term yields modestly declining</t>
  </si>
  <si>
    <t>Interest Expense Rate (% on avg. debt)</t>
  </si>
  <si>
    <t>Average coupon on long-term debt</t>
  </si>
  <si>
    <t xml:space="preserve">  6.  CAPITAL RETURN ASSUMPTIONS</t>
  </si>
  <si>
    <t>Annual Share Buyback ($mm)</t>
  </si>
  <si>
    <t>Assumes sustained ~$90bn programme</t>
  </si>
  <si>
    <t>Annual Dividend per Share ($)</t>
  </si>
  <si>
    <t>~5% annual growth in DPS</t>
  </si>
  <si>
    <t xml:space="preserve">  7.  WACC COMPONENTS  (for reference)</t>
  </si>
  <si>
    <t>Risk-Free Rate (10Y UST Yield, %)</t>
  </si>
  <si>
    <t>4.30%</t>
  </si>
  <si>
    <t>Equity Risk Premium (%)</t>
  </si>
  <si>
    <t>Damodaran Jan-2025</t>
  </si>
  <si>
    <t>Beta (5Y Monthly, vs. S&amp;P 500)</t>
  </si>
  <si>
    <t>Bloomberg</t>
  </si>
  <si>
    <t>Cost of Equity – CAPM (%)</t>
  </si>
  <si>
    <t>Rf + β × ERP (CAPM)</t>
  </si>
  <si>
    <t>Pre-Tax Cost of Debt (%)</t>
  </si>
  <si>
    <t>Weighted avg. coupon</t>
  </si>
  <si>
    <t>Marginal Tax Rate (%)</t>
  </si>
  <si>
    <t>Federal + state blended</t>
  </si>
  <si>
    <t>After-Tax Cost of Debt (%)</t>
  </si>
  <si>
    <t>kd × (1 – tax rate)</t>
  </si>
  <si>
    <t>Equity Weight (%)</t>
  </si>
  <si>
    <t>Market cap / EV</t>
  </si>
  <si>
    <t>Debt Weight (%)</t>
  </si>
  <si>
    <t>Net debt / EV</t>
  </si>
  <si>
    <t>WACC (%)</t>
  </si>
  <si>
    <t>ke×We + kd×Wd×(1-t)</t>
  </si>
  <si>
    <t>End of prior year count</t>
  </si>
  <si>
    <t>Assumed avg. price for retirement</t>
  </si>
  <si>
    <t>Options + RSU vesting</t>
  </si>
  <si>
    <t xml:space="preserve">  COLOUR LEGEND</t>
  </si>
  <si>
    <t>Formula linked from another sheet in this workbook</t>
  </si>
  <si>
    <t>Calculated formula — do not overwrite</t>
  </si>
  <si>
    <t xml:space="preserve">   Revenue Growth YoY</t>
  </si>
  <si>
    <t xml:space="preserve">   Gross Margin %</t>
  </si>
  <si>
    <t xml:space="preserve">   EBITDA Margin %</t>
  </si>
  <si>
    <t xml:space="preserve">   Net Profit Margin %</t>
  </si>
  <si>
    <t>APPLE INC.</t>
  </si>
  <si>
    <t>Equity Research &amp; Financial Projection Model</t>
  </si>
  <si>
    <t>Ticker:</t>
  </si>
  <si>
    <t>AAPL (NASDAQ)</t>
  </si>
  <si>
    <t>Sector:</t>
  </si>
  <si>
    <t>Technology</t>
  </si>
  <si>
    <t>Sub-Industry:</t>
  </si>
  <si>
    <t>Technology Hardware &amp; Equipment</t>
  </si>
  <si>
    <t>Model Version:</t>
  </si>
  <si>
    <t>v1.0</t>
  </si>
  <si>
    <t>Prepared By:</t>
  </si>
  <si>
    <t>Equity Research</t>
  </si>
  <si>
    <t>Date:</t>
  </si>
  <si>
    <t>14 March 2026</t>
  </si>
  <si>
    <t>Fiscal Year End:</t>
  </si>
  <si>
    <t>Last Saturday of September</t>
  </si>
  <si>
    <t>Currency:</t>
  </si>
  <si>
    <t>Hist. Period:</t>
  </si>
  <si>
    <t>FY2021 – FY2025</t>
  </si>
  <si>
    <t>Proj. Period:</t>
  </si>
  <si>
    <t>FY2026E – FY2030E</t>
  </si>
  <si>
    <t>DISCLAIMER: This financial model is prepared for analytical and informational purposes only. It does not constitute investment advice. Projections are based on publicly available data and reasonable assumptions; actual results may differ materially.</t>
  </si>
  <si>
    <t>MODEL STRUCTURE</t>
  </si>
  <si>
    <t>ASSUMPTIONS &amp; DRIVERS</t>
  </si>
  <si>
    <t>Weighted Avg. Diluted Shares Outstanding</t>
  </si>
  <si>
    <t xml:space="preserve">  8.  DILUTED SHARE COUNT</t>
  </si>
  <si>
    <t>Beginning Diluted Shares</t>
  </si>
  <si>
    <t>Net Shares Retired via Buybacks</t>
  </si>
  <si>
    <t>SBC Dilution</t>
  </si>
  <si>
    <t xml:space="preserve">   COGS YoY</t>
  </si>
  <si>
    <t>DCF Valuation  |  Unlevered Free Cash Flow  |  USD ($M)</t>
  </si>
  <si>
    <t>Mid-year discounting  |  3-year explicit period  |  All drivers from Assumptions tab</t>
  </si>
  <si>
    <t>UFCF BUILD</t>
  </si>
  <si>
    <t>Revenue ($M)</t>
  </si>
  <si>
    <t>EBITDA ($M)</t>
  </si>
  <si>
    <t xml:space="preserve">  (–) D&amp;A ($M)</t>
  </si>
  <si>
    <t>EBIT ($M)</t>
  </si>
  <si>
    <t xml:space="preserve">  (–) Tax on EBIT</t>
  </si>
  <si>
    <t>NOPAT ($M)</t>
  </si>
  <si>
    <t xml:space="preserve">  (+) D&amp;A</t>
  </si>
  <si>
    <t xml:space="preserve">  (–) CapEx ($M)</t>
  </si>
  <si>
    <t xml:space="preserve">  (–) Change in NWC</t>
  </si>
  <si>
    <t>Unlevered FCF — UFCF ($M)</t>
  </si>
  <si>
    <t>WACC</t>
  </si>
  <si>
    <t>Cost of Equity</t>
  </si>
  <si>
    <t>After-Tax Cost of Debt</t>
  </si>
  <si>
    <t>PV OF UFCF  (Mid-Year Convention)</t>
  </si>
  <si>
    <t>Discount Period</t>
  </si>
  <si>
    <t>Discount Factor  [1/(1+WACC)^t]</t>
  </si>
  <si>
    <t>PV of UFCF ($M)</t>
  </si>
  <si>
    <t>Sum of PV UFCFs ($M)</t>
  </si>
  <si>
    <t>TERMINAL VALUE</t>
  </si>
  <si>
    <t>Terminal Year EBITDA ($M)</t>
  </si>
  <si>
    <t>TV – Gordon Growth  [UFCF3×(1+g)/(WACC–g)]</t>
  </si>
  <si>
    <t>TV – Exit EV/EBITDA  [EBITDA3 × multiple]</t>
  </si>
  <si>
    <t>PV of TV – Gordon Growth  [TV/(1+WACC)³]</t>
  </si>
  <si>
    <t>PV of TV – Exit Multiple  [TV/(1+WACC)³]</t>
  </si>
  <si>
    <t>ENTERPRISE VALUE</t>
  </si>
  <si>
    <t>EV – Gordon Growth ($M)</t>
  </si>
  <si>
    <t>EV – Exit Multiple ($M)</t>
  </si>
  <si>
    <t>EQUITY BRIDGE → IMPLIED SHARE PRICE</t>
  </si>
  <si>
    <t>(–) Net Debt ($M)</t>
  </si>
  <si>
    <t>Equity Value – GGM ($M)</t>
  </si>
  <si>
    <t>Equity Value – Exit ($M)</t>
  </si>
  <si>
    <t>⭐ Implied Share Price – Gordon Growth ($)</t>
  </si>
  <si>
    <t>⭐ Implied Share Price – Exit Multiple ($)</t>
  </si>
  <si>
    <t>All cells formula-linked: UFCFs from DCF tab, net debt &amp; shares from Assumptions tab</t>
  </si>
  <si>
    <t>Table 1: Implied Price – GGM ($)  |  WACC (rows) vs Terminal Growth Rate (cols)</t>
  </si>
  <si>
    <t>WACC  ↓  TGR →</t>
  </si>
  <si>
    <t>8%</t>
  </si>
  <si>
    <t>9%</t>
  </si>
  <si>
    <t>10%</t>
  </si>
  <si>
    <t>11%</t>
  </si>
  <si>
    <t>12%</t>
  </si>
  <si>
    <t>Rev Gr  ↓  Mgn →</t>
  </si>
  <si>
    <t>Selected Scenario →</t>
  </si>
  <si>
    <t>Driver</t>
  </si>
  <si>
    <t>Bull</t>
  </si>
  <si>
    <t>Bear</t>
  </si>
  <si>
    <t>Net Debt ($M)</t>
  </si>
  <si>
    <t>── SELECTED SCENARIO OUTPUTS ──</t>
  </si>
  <si>
    <t>KPI</t>
  </si>
  <si>
    <t>Selected</t>
  </si>
  <si>
    <t>Stress Testing  |  Shock scenarios on key risk factors</t>
  </si>
  <si>
    <t>Revenue shock is additive to each year's base growth  |  All $ in USD ($M)</t>
  </si>
  <si>
    <t>Scenario</t>
  </si>
  <si>
    <t>Rev Shock</t>
  </si>
  <si>
    <t>EBITDA Mgn</t>
  </si>
  <si>
    <t>Revenue Y3</t>
  </si>
  <si>
    <t>EBITDA Y3</t>
  </si>
  <si>
    <t>Net Debt</t>
  </si>
  <si>
    <t>Debt / EBITDA</t>
  </si>
  <si>
    <t>Debt Repay (yrs)</t>
  </si>
  <si>
    <t>Base Case</t>
  </si>
  <si>
    <t>Revenue  –20%</t>
  </si>
  <si>
    <t>Revenue  –40%</t>
  </si>
  <si>
    <t>Margin Compression</t>
  </si>
  <si>
    <t>Rate Shock  (+2%)</t>
  </si>
  <si>
    <t>Liquidity Squeeze</t>
  </si>
  <si>
    <t>Combined Stress</t>
  </si>
  <si>
    <t>Notes:</t>
  </si>
  <si>
    <t>• Revenue Shock = additive adjustment to each year's base growth rate from Assumptions tab</t>
  </si>
  <si>
    <t>• EBITDA Margin: "-" = carries Assumptions Y3 margin; numeric = scenario override</t>
  </si>
  <si>
    <t>• Debt Repayment (yrs) = Net Debt ÷ (EBITDA × (1–Tax))  |  Simplified liquidity proxy</t>
  </si>
  <si>
    <t>• Rate Shock row: manually increase "Pre-Tax Cost of Debt" in Assumptions by +2% to model impact</t>
  </si>
  <si>
    <t>Terminal Growth Rate (Gordon Growth)</t>
  </si>
  <si>
    <t>Long-run perpetuity nominal growth rate</t>
  </si>
  <si>
    <t>Exit EV/EBITDA Multiple</t>
  </si>
  <si>
    <t>Peer group median terminal exit multiple</t>
  </si>
  <si>
    <t xml:space="preserve">  9.  TERMINAL VALUE</t>
  </si>
  <si>
    <t>* Suggested 9%</t>
  </si>
  <si>
    <t>* Suggested 5%</t>
  </si>
  <si>
    <t>*Suggested 8% for APPL's massive cash moat, low bankruptcy risk and consistent stock buybacks</t>
  </si>
  <si>
    <t>Metric Tweaks</t>
  </si>
  <si>
    <t>Table 2: EBITDA Year 5 ($M)  |  Revenue Growth (rows) vs EBITDA Margin (cols)</t>
  </si>
  <si>
    <t>• Only applicable to company's that have (+) Net Debt</t>
  </si>
  <si>
    <t>SBC as % of Revenue</t>
  </si>
  <si>
    <t>Sustains talent via RSU/option programmes</t>
  </si>
  <si>
    <t>Current</t>
  </si>
  <si>
    <t>Revenue Y5 ($M)</t>
  </si>
  <si>
    <t>EBITDA Y5 ($M)</t>
  </si>
  <si>
    <t>EBITDA Margin Y5</t>
  </si>
  <si>
    <t>Shares Outstanding</t>
  </si>
  <si>
    <t>Normal</t>
  </si>
  <si>
    <t>Stock Price</t>
  </si>
  <si>
    <t>Market Capitalization</t>
  </si>
  <si>
    <t>Cash</t>
  </si>
  <si>
    <t>Debt</t>
  </si>
  <si>
    <t>EV</t>
  </si>
  <si>
    <t xml:space="preserve">  10.  STOCK MARKET VALUES</t>
  </si>
  <si>
    <t xml:space="preserve">   Operating Margin (EBIT) %</t>
  </si>
  <si>
    <t>⭐ Book Value of Share Price</t>
  </si>
  <si>
    <t>Hardcoded inputs — edit these cells for intended analysis</t>
  </si>
  <si>
    <t>Historical P&amp;L (FY2021–FY2025) with 5 year forward projections</t>
  </si>
  <si>
    <t>Historical cash flows (FY2021–FY2025) with 5 year forward projections</t>
  </si>
  <si>
    <t>Historical balance sheet (FY2021–FY2025) with 5 year forward projections</t>
  </si>
  <si>
    <t>Sensitivity Analysis  |  Heat-map</t>
  </si>
  <si>
    <t>Change cell B2 to switch scenario</t>
  </si>
  <si>
    <t>Scenario Analysis</t>
  </si>
  <si>
    <t xml:space="preserve">Currently based on Implied Share Price and Year 5 EBITDA </t>
  </si>
  <si>
    <t>Implied Share Price</t>
  </si>
  <si>
    <t xml:space="preserve">Figure projections for potential scenarios </t>
  </si>
  <si>
    <t>Includes key ratios for comparable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</si>
</sst>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-&quot;RM&quot;* #,##0.00_-;\-&quot;RM&quot;* #,##0.00_-;_-&quot;RM&quot;* &quot;-&quot;??_-;_-@_-"/>
    <numFmt numFmtId="43" formatCode="_-* #,##0.00_-;\-* #,##0.00_-;_-* &quot;-&quot;??_-;_-@_-"/>
    <numFmt numFmtId="164" formatCode="#,##0;\(#,##0\);\-"/>
    <numFmt numFmtId="165" formatCode="0.00\x"/>
    <numFmt numFmtId="166" formatCode="0.0%;\(0.0%\);\-"/>
    <numFmt numFmtId="167" formatCode="#.##"/>
    <numFmt numFmtId="168" formatCode="\$#,##0,,"/>
    <numFmt numFmtId="169" formatCode="#,##0.00;\(#,##0.00\);\-"/>
    <numFmt numFmtId="170" formatCode="#,##0.0;\(#,##0.0\);\-"/>
    <numFmt numFmtId="171" formatCode="#,##0.0"/>
    <numFmt numFmtId="172" formatCode="0.0%"/>
    <numFmt numFmtId="173" formatCode="0.0"/>
    <numFmt numFmtId="174" formatCode="0.0000"/>
    <numFmt numFmtId="175" formatCode="0.0\x"/>
    <numFmt numFmtId="176" formatCode="[$USD]\ #,##0"/>
    <numFmt numFmtId="177" formatCode="_-[$$-409]* #,##0.00_ ;_-[$$-409]* \-#,##0.00\ ;_-[$$-409]* &quot;-&quot;??_ ;_-@_ "/>
    <numFmt numFmtId="178" formatCode="_-[$$-409]* #,##0_ ;_-[$$-409]* \-#,##0\ ;_-[$$-409]* &quot;-&quot;??_ ;_-@_ "/>
    <numFmt numFmtId="179" formatCode="[$USD]\ #,##0.00"/>
  </numFmts>
  <fonts count="58" x14ac:knownFonts="1">
    <font>
      <sz val="11"/>
      <color theme="1"/>
      <name val="Calibri"/>
      <family val="2"/>
      <charset val="1"/>
    </font>
    <font>
      <b/>
      <sz val="16"/>
      <color rgb="FFFFFFFF"/>
      <name val="Calibri"/>
      <family val="2"/>
    </font>
    <font>
      <sz val="11"/>
      <color rgb="FFFFFFFF"/>
      <name val="Calibri"/>
      <family val="2"/>
    </font>
    <font>
      <b/>
      <sz val="10"/>
      <color rgb="FF1F3864"/>
      <name val="Calibri"/>
      <family val="2"/>
    </font>
    <font>
      <sz val="10"/>
      <color rgb="FF000000"/>
      <name val="Calibri"/>
      <family val="2"/>
    </font>
    <font>
      <sz val="10"/>
      <color rgb="FF0000FF"/>
      <name val="Calibri"/>
      <family val="2"/>
    </font>
    <font>
      <b/>
      <sz val="10"/>
      <color rgb="FF000000"/>
      <name val="Calibri"/>
      <family val="2"/>
    </font>
    <font>
      <i/>
      <sz val="9"/>
      <color rgb="FF7F7F7F"/>
      <name val="Calibri"/>
      <family val="2"/>
    </font>
    <font>
      <b/>
      <sz val="9"/>
      <color rgb="FFFF0000"/>
      <name val="Calibri"/>
      <family val="2"/>
    </font>
    <font>
      <sz val="10"/>
      <color rgb="FF008000"/>
      <name val="Calibri"/>
      <family val="2"/>
    </font>
    <font>
      <b/>
      <sz val="10"/>
      <color rgb="FF0000FF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0066FF"/>
      <name val="Calibri"/>
      <family val="2"/>
      <charset val="1"/>
    </font>
    <font>
      <b/>
      <sz val="11"/>
      <color rgb="FF0066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</font>
    <font>
      <sz val="10"/>
      <color rgb="FF0066FF"/>
      <name val="Calibri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D0D0D"/>
      <name val="Arial"/>
      <family val="2"/>
    </font>
    <font>
      <i/>
      <sz val="8"/>
      <color rgb="FF555555"/>
      <name val="Arial"/>
      <family val="2"/>
    </font>
    <font>
      <sz val="9"/>
      <color rgb="FF0000FF"/>
      <name val="Arial"/>
      <family val="2"/>
    </font>
    <font>
      <sz val="9"/>
      <color rgb="FF444444"/>
      <name val="Arial"/>
      <family val="2"/>
    </font>
    <font>
      <b/>
      <sz val="9"/>
      <color rgb="FF0000FF"/>
      <name val="Arial"/>
      <family val="2"/>
    </font>
    <font>
      <sz val="9"/>
      <color rgb="FF000000"/>
      <name val="Arial"/>
      <family val="2"/>
    </font>
    <font>
      <b/>
      <sz val="9"/>
      <color rgb="FF006400"/>
      <name val="Arial"/>
      <family val="2"/>
    </font>
    <font>
      <b/>
      <sz val="9"/>
      <color rgb="FF000000"/>
      <name val="Arial"/>
      <family val="2"/>
    </font>
    <font>
      <i/>
      <sz val="8"/>
      <color rgb="FF336699"/>
      <name val="Arial"/>
      <family val="2"/>
    </font>
    <font>
      <b/>
      <sz val="22"/>
      <color rgb="FF1A2E4A"/>
      <name val="Arial"/>
      <family val="2"/>
    </font>
    <font>
      <sz val="13"/>
      <color rgb="FF2C4770"/>
      <name val="Arial"/>
      <family val="2"/>
    </font>
    <font>
      <b/>
      <sz val="10"/>
      <color rgb="FF1A2E4A"/>
      <name val="Arial"/>
      <family val="2"/>
    </font>
    <font>
      <sz val="10"/>
      <color rgb="FF2C4770"/>
      <name val="Arial"/>
      <family val="2"/>
    </font>
    <font>
      <i/>
      <sz val="8"/>
      <color rgb="FF888888"/>
      <name val="Arial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  <font>
      <i/>
      <sz val="11"/>
      <color rgb="FF606060"/>
      <name val="Cambria"/>
      <family val="1"/>
    </font>
    <font>
      <b/>
      <sz val="11"/>
      <name val="Cambria"/>
      <family val="1"/>
    </font>
    <font>
      <sz val="11"/>
      <name val="Cambria"/>
      <family val="1"/>
    </font>
    <font>
      <sz val="11"/>
      <color rgb="FF0000FF"/>
      <name val="Calibri"/>
      <family val="2"/>
      <charset val="1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i/>
      <sz val="11"/>
      <color rgb="FF606060"/>
      <name val="Cambria"/>
      <family val="1"/>
    </font>
    <font>
      <b/>
      <sz val="11"/>
      <color theme="1"/>
      <name val="Calibri"/>
      <family val="2"/>
      <charset val="1"/>
    </font>
    <font>
      <sz val="10"/>
      <color rgb="FF008000"/>
      <name val="Calibri"/>
      <family val="2"/>
      <charset val="1"/>
    </font>
    <font>
      <sz val="10"/>
      <color rgb="FF0000FF"/>
      <name val="Calibri"/>
      <family val="2"/>
      <charset val="1"/>
    </font>
    <font>
      <sz val="10"/>
      <name val="Calibri"/>
      <family val="2"/>
    </font>
    <font>
      <sz val="11"/>
      <color rgb="FF008000"/>
      <name val="Calibri"/>
      <family val="2"/>
      <charset val="1"/>
    </font>
    <font>
      <b/>
      <sz val="11"/>
      <color rgb="FF0000FF"/>
      <name val="Cambria"/>
      <family val="1"/>
    </font>
    <font>
      <b/>
      <sz val="11"/>
      <color rgb="FF008000"/>
      <name val="Cambria"/>
      <family val="1"/>
    </font>
    <font>
      <sz val="9"/>
      <color rgb="FF008000"/>
      <name val="Arial"/>
      <family val="2"/>
    </font>
    <font>
      <sz val="11"/>
      <name val="Calibri"/>
      <family val="2"/>
      <charset val="1"/>
    </font>
    <font>
      <sz val="9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9E1F2"/>
        <bgColor rgb="FFD6E4F7"/>
      </patternFill>
    </fill>
    <fill>
      <patternFill patternType="solid">
        <fgColor rgb="FFFFFFFF"/>
        <bgColor rgb="FFFFF2CC"/>
      </patternFill>
    </fill>
    <fill>
      <patternFill patternType="solid">
        <fgColor rgb="FFBDD7EE"/>
        <bgColor rgb="FFD6E4F7"/>
      </patternFill>
    </fill>
    <fill>
      <patternFill patternType="solid">
        <fgColor rgb="FFD6E4F7"/>
        <bgColor rgb="FFD9E1F2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 tint="0.79998168889431442"/>
        <bgColor rgb="FFFFF2CC"/>
      </patternFill>
    </fill>
    <fill>
      <patternFill patternType="solid">
        <fgColor rgb="FF1A2E4A"/>
        <bgColor rgb="FF2C4770"/>
      </patternFill>
    </fill>
    <fill>
      <patternFill patternType="solid">
        <fgColor rgb="FF2C4770"/>
        <bgColor rgb="FF2F5496"/>
      </patternFill>
    </fill>
    <fill>
      <patternFill patternType="solid">
        <fgColor rgb="FFE8EFF7"/>
        <bgColor rgb="FFF0F4F8"/>
      </patternFill>
    </fill>
    <fill>
      <patternFill patternType="solid">
        <fgColor rgb="FFFFFFFF"/>
        <bgColor rgb="FFFFFEF5"/>
      </patternFill>
    </fill>
    <fill>
      <patternFill patternType="solid">
        <fgColor rgb="FFFFFEF5"/>
        <bgColor rgb="FFFFFFFF"/>
      </patternFill>
    </fill>
    <fill>
      <patternFill patternType="solid">
        <fgColor rgb="FFD6E4F0"/>
        <bgColor rgb="FFE8EFF7"/>
      </patternFill>
    </fill>
    <fill>
      <patternFill patternType="solid">
        <fgColor rgb="FFFFF3CD"/>
        <bgColor rgb="FFFFFEF5"/>
      </patternFill>
    </fill>
    <fill>
      <patternFill patternType="solid">
        <fgColor rgb="FFF0F4F8"/>
        <bgColor rgb="FFE8EFF7"/>
      </patternFill>
    </fill>
    <fill>
      <patternFill patternType="solid">
        <fgColor rgb="FFC9A84C"/>
        <bgColor rgb="FFFF9900"/>
      </patternFill>
    </fill>
    <fill>
      <patternFill patternType="solid">
        <fgColor rgb="FFF7FBFF"/>
        <bgColor rgb="FFFFFFFF"/>
      </patternFill>
    </fill>
    <fill>
      <patternFill patternType="solid">
        <fgColor rgb="FFFFC000"/>
        <bgColor rgb="FFD6E4F7"/>
      </patternFill>
    </fill>
    <fill>
      <patternFill patternType="solid">
        <fgColor rgb="FFFFFEF5"/>
        <bgColor rgb="FFEFEFEF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EFEFEF"/>
      </patternFill>
    </fill>
    <fill>
      <patternFill patternType="solid">
        <fgColor rgb="FFD6E4F7"/>
        <bgColor rgb="FFD6E4F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D9E1F2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rgb="FFEFEFEF"/>
      </patternFill>
    </fill>
    <fill>
      <patternFill patternType="solid">
        <fgColor theme="0"/>
        <bgColor rgb="FFEFEFEF"/>
      </patternFill>
    </fill>
    <fill>
      <patternFill patternType="solid">
        <fgColor rgb="FFFFF2CC"/>
        <bgColor rgb="FFD9E1F2"/>
      </patternFill>
    </fill>
    <fill>
      <patternFill patternType="solid">
        <fgColor theme="0"/>
        <bgColor rgb="FFE8EFF7"/>
      </patternFill>
    </fill>
    <fill>
      <patternFill patternType="solid">
        <fgColor theme="0"/>
        <bgColor rgb="FFFFFEF5"/>
      </patternFill>
    </fill>
    <fill>
      <patternFill patternType="solid">
        <fgColor theme="0"/>
        <bgColor rgb="FFFFFFFF"/>
      </patternFill>
    </fill>
  </fills>
  <borders count="5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ck">
        <color auto="1"/>
      </right>
      <top/>
      <bottom/>
      <diagonal/>
    </border>
    <border>
      <left style="thin">
        <color rgb="FFBFBFBF"/>
      </left>
      <right style="thick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ck">
        <color auto="1"/>
      </right>
      <top style="thin">
        <color rgb="FFBFBFBF"/>
      </top>
      <bottom style="medium">
        <color rgb="FF1F38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indexed="64"/>
      </top>
      <bottom style="thin">
        <color rgb="FFBFBFBF"/>
      </bottom>
      <diagonal/>
    </border>
    <border>
      <left/>
      <right/>
      <top style="thin">
        <color indexed="64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indexed="64"/>
      </bottom>
      <diagonal/>
    </border>
    <border>
      <left/>
      <right style="thick">
        <color rgb="FF1F3864"/>
      </right>
      <top/>
      <bottom/>
      <diagonal/>
    </border>
    <border>
      <left/>
      <right style="thick">
        <color rgb="FF1F38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1F3864"/>
      </bottom>
      <diagonal/>
    </border>
    <border>
      <left/>
      <right/>
      <top style="thin">
        <color rgb="FFBFBFBF"/>
      </top>
      <bottom style="medium">
        <color rgb="FF1F3864"/>
      </bottom>
      <diagonal/>
    </border>
    <border>
      <left/>
      <right style="thick">
        <color rgb="FF1F3864"/>
      </right>
      <top style="thin">
        <color rgb="FFBFBFBF"/>
      </top>
      <bottom style="medium">
        <color rgb="FF1F3864"/>
      </bottom>
      <diagonal/>
    </border>
    <border>
      <left/>
      <right style="thin">
        <color rgb="FFBFBFBF"/>
      </right>
      <top style="thin">
        <color rgb="FFBFBFBF"/>
      </top>
      <bottom style="medium">
        <color rgb="FF1F3864"/>
      </bottom>
      <diagonal/>
    </border>
  </borders>
  <cellStyleXfs count="5">
    <xf numFmtId="0" fontId="0" fillId="0" borderId="0"/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6" fillId="0" borderId="0" applyNumberFormat="0" applyFill="0" applyBorder="0" applyAlignment="0" applyProtection="0"/>
    <xf numFmtId="44" fontId="45" fillId="0" borderId="0" applyFont="0" applyFill="0" applyBorder="0" applyAlignment="0" applyProtection="0"/>
  </cellStyleXfs>
  <cellXfs count="402">
    <xf numFmtId="0" fontId="0" fillId="0" borderId="0" xfId="0"/>
    <xf numFmtId="0" fontId="0" fillId="2" borderId="0" xfId="0" applyFill="1"/>
    <xf numFmtId="0" fontId="0" fillId="3" borderId="0" xfId="0" applyFill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0" xfId="0" applyFill="1"/>
    <xf numFmtId="0" fontId="3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4" fillId="5" borderId="1" xfId="0" applyFont="1" applyFill="1" applyBorder="1" applyAlignment="1">
      <alignment horizontal="left" vertical="center" indent="2"/>
    </xf>
    <xf numFmtId="0" fontId="6" fillId="8" borderId="2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indent="2"/>
    </xf>
    <xf numFmtId="0" fontId="6" fillId="5" borderId="2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165" fontId="4" fillId="7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66" fontId="4" fillId="7" borderId="1" xfId="0" applyNumberFormat="1" applyFont="1" applyFill="1" applyBorder="1" applyAlignment="1">
      <alignment horizontal="right" vertical="center"/>
    </xf>
    <xf numFmtId="166" fontId="4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/>
    </xf>
    <xf numFmtId="167" fontId="0" fillId="0" borderId="0" xfId="0" applyNumberFormat="1" applyAlignment="1">
      <alignment horizontal="right"/>
    </xf>
    <xf numFmtId="167" fontId="0" fillId="0" borderId="8" xfId="0" applyNumberFormat="1" applyBorder="1" applyAlignment="1">
      <alignment horizontal="right"/>
    </xf>
    <xf numFmtId="167" fontId="0" fillId="0" borderId="9" xfId="0" applyNumberFormat="1" applyBorder="1" applyAlignment="1">
      <alignment horizontal="right"/>
    </xf>
    <xf numFmtId="0" fontId="0" fillId="0" borderId="10" xfId="0" applyBorder="1"/>
    <xf numFmtId="167" fontId="0" fillId="0" borderId="11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67" fontId="0" fillId="0" borderId="13" xfId="0" applyNumberFormat="1" applyBorder="1" applyAlignment="1">
      <alignment horizontal="right"/>
    </xf>
    <xf numFmtId="167" fontId="0" fillId="0" borderId="14" xfId="0" applyNumberFormat="1" applyBorder="1" applyAlignment="1">
      <alignment horizontal="right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11" fontId="11" fillId="0" borderId="15" xfId="0" applyNumberFormat="1" applyFont="1" applyBorder="1" applyAlignment="1">
      <alignment horizontal="center"/>
    </xf>
    <xf numFmtId="11" fontId="0" fillId="0" borderId="15" xfId="0" applyNumberFormat="1" applyBorder="1"/>
    <xf numFmtId="11" fontId="0" fillId="0" borderId="16" xfId="0" applyNumberFormat="1" applyBorder="1"/>
    <xf numFmtId="11" fontId="0" fillId="0" borderId="17" xfId="0" applyNumberFormat="1" applyBorder="1"/>
    <xf numFmtId="168" fontId="5" fillId="7" borderId="1" xfId="0" applyNumberFormat="1" applyFont="1" applyFill="1" applyBorder="1" applyAlignment="1">
      <alignment horizontal="right" vertical="center"/>
    </xf>
    <xf numFmtId="168" fontId="5" fillId="5" borderId="1" xfId="0" applyNumberFormat="1" applyFont="1" applyFill="1" applyBorder="1" applyAlignment="1">
      <alignment horizontal="right" vertical="center"/>
    </xf>
    <xf numFmtId="167" fontId="14" fillId="10" borderId="11" xfId="0" applyNumberFormat="1" applyFont="1" applyFill="1" applyBorder="1" applyAlignment="1">
      <alignment horizontal="right"/>
    </xf>
    <xf numFmtId="168" fontId="6" fillId="8" borderId="2" xfId="0" applyNumberFormat="1" applyFont="1" applyFill="1" applyBorder="1" applyAlignment="1">
      <alignment horizontal="right" vertical="center"/>
    </xf>
    <xf numFmtId="168" fontId="0" fillId="5" borderId="0" xfId="0" applyNumberFormat="1" applyFill="1"/>
    <xf numFmtId="168" fontId="0" fillId="6" borderId="1" xfId="0" applyNumberFormat="1" applyFill="1" applyBorder="1"/>
    <xf numFmtId="11" fontId="12" fillId="0" borderId="16" xfId="0" applyNumberFormat="1" applyFont="1" applyBorder="1"/>
    <xf numFmtId="0" fontId="11" fillId="0" borderId="7" xfId="0" applyFont="1" applyBorder="1" applyAlignment="1">
      <alignment horizontal="center"/>
    </xf>
    <xf numFmtId="167" fontId="0" fillId="0" borderId="7" xfId="0" applyNumberFormat="1" applyBorder="1" applyAlignment="1">
      <alignment horizontal="right"/>
    </xf>
    <xf numFmtId="167" fontId="0" fillId="0" borderId="10" xfId="0" applyNumberFormat="1" applyBorder="1" applyAlignment="1">
      <alignment horizontal="right"/>
    </xf>
    <xf numFmtId="167" fontId="0" fillId="0" borderId="12" xfId="0" applyNumberFormat="1" applyBorder="1" applyAlignment="1">
      <alignment horizontal="right"/>
    </xf>
    <xf numFmtId="11" fontId="16" fillId="0" borderId="16" xfId="0" applyNumberFormat="1" applyFont="1" applyBorder="1"/>
    <xf numFmtId="11" fontId="0" fillId="0" borderId="3" xfId="0" applyNumberFormat="1" applyBorder="1"/>
    <xf numFmtId="11" fontId="12" fillId="0" borderId="17" xfId="0" applyNumberFormat="1" applyFont="1" applyBorder="1"/>
    <xf numFmtId="11" fontId="15" fillId="0" borderId="16" xfId="0" quotePrefix="1" applyNumberFormat="1" applyFont="1" applyBorder="1"/>
    <xf numFmtId="168" fontId="18" fillId="5" borderId="1" xfId="0" applyNumberFormat="1" applyFont="1" applyFill="1" applyBorder="1" applyAlignment="1">
      <alignment horizontal="right" vertical="center"/>
    </xf>
    <xf numFmtId="169" fontId="6" fillId="5" borderId="2" xfId="0" applyNumberFormat="1" applyFont="1" applyFill="1" applyBorder="1" applyAlignment="1">
      <alignment horizontal="right" vertical="center"/>
    </xf>
    <xf numFmtId="168" fontId="0" fillId="0" borderId="7" xfId="0" applyNumberFormat="1" applyBorder="1" applyAlignment="1">
      <alignment horizontal="right"/>
    </xf>
    <xf numFmtId="168" fontId="0" fillId="0" borderId="8" xfId="0" applyNumberFormat="1" applyBorder="1" applyAlignment="1">
      <alignment horizontal="right"/>
    </xf>
    <xf numFmtId="168" fontId="0" fillId="0" borderId="9" xfId="0" applyNumberFormat="1" applyBorder="1" applyAlignment="1">
      <alignment horizontal="right"/>
    </xf>
    <xf numFmtId="168" fontId="15" fillId="10" borderId="10" xfId="0" applyNumberFormat="1" applyFont="1" applyFill="1" applyBorder="1" applyAlignment="1">
      <alignment horizontal="right"/>
    </xf>
    <xf numFmtId="168" fontId="15" fillId="10" borderId="0" xfId="0" applyNumberFormat="1" applyFont="1" applyFill="1" applyAlignment="1">
      <alignment horizontal="right"/>
    </xf>
    <xf numFmtId="168" fontId="15" fillId="10" borderId="11" xfId="0" applyNumberFormat="1" applyFont="1" applyFill="1" applyBorder="1" applyAlignment="1">
      <alignment horizontal="right"/>
    </xf>
    <xf numFmtId="168" fontId="0" fillId="0" borderId="10" xfId="0" applyNumberFormat="1" applyBorder="1" applyAlignment="1">
      <alignment horizontal="right"/>
    </xf>
    <xf numFmtId="168" fontId="0" fillId="0" borderId="0" xfId="0" applyNumberFormat="1" applyAlignment="1">
      <alignment horizontal="right"/>
    </xf>
    <xf numFmtId="168" fontId="0" fillId="0" borderId="11" xfId="0" applyNumberFormat="1" applyBorder="1" applyAlignment="1">
      <alignment horizontal="right"/>
    </xf>
    <xf numFmtId="168" fontId="0" fillId="0" borderId="12" xfId="0" applyNumberFormat="1" applyBorder="1" applyAlignment="1">
      <alignment horizontal="right"/>
    </xf>
    <xf numFmtId="168" fontId="0" fillId="0" borderId="13" xfId="0" applyNumberFormat="1" applyBorder="1" applyAlignment="1">
      <alignment horizontal="right"/>
    </xf>
    <xf numFmtId="168" fontId="0" fillId="0" borderId="14" xfId="0" applyNumberFormat="1" applyBorder="1" applyAlignment="1">
      <alignment horizontal="right"/>
    </xf>
    <xf numFmtId="168" fontId="12" fillId="0" borderId="10" xfId="0" applyNumberFormat="1" applyFont="1" applyBorder="1" applyAlignment="1">
      <alignment horizontal="right"/>
    </xf>
    <xf numFmtId="168" fontId="12" fillId="0" borderId="0" xfId="0" applyNumberFormat="1" applyFont="1" applyAlignment="1">
      <alignment horizontal="right"/>
    </xf>
    <xf numFmtId="168" fontId="12" fillId="0" borderId="11" xfId="0" applyNumberFormat="1" applyFont="1" applyBorder="1" applyAlignment="1">
      <alignment horizontal="right"/>
    </xf>
    <xf numFmtId="168" fontId="12" fillId="0" borderId="12" xfId="0" applyNumberFormat="1" applyFont="1" applyBorder="1" applyAlignment="1">
      <alignment horizontal="right"/>
    </xf>
    <xf numFmtId="168" fontId="12" fillId="0" borderId="13" xfId="0" applyNumberFormat="1" applyFont="1" applyBorder="1" applyAlignment="1">
      <alignment horizontal="right"/>
    </xf>
    <xf numFmtId="168" fontId="12" fillId="0" borderId="14" xfId="0" applyNumberFormat="1" applyFont="1" applyBorder="1" applyAlignment="1">
      <alignment horizontal="right"/>
    </xf>
    <xf numFmtId="168" fontId="0" fillId="0" borderId="0" xfId="0" applyNumberFormat="1"/>
    <xf numFmtId="168" fontId="0" fillId="0" borderId="11" xfId="0" applyNumberFormat="1" applyBorder="1"/>
    <xf numFmtId="168" fontId="12" fillId="0" borderId="0" xfId="0" applyNumberFormat="1" applyFont="1"/>
    <xf numFmtId="168" fontId="12" fillId="0" borderId="11" xfId="0" applyNumberFormat="1" applyFont="1" applyBorder="1"/>
    <xf numFmtId="168" fontId="12" fillId="0" borderId="13" xfId="0" applyNumberFormat="1" applyFont="1" applyBorder="1"/>
    <xf numFmtId="168" fontId="12" fillId="0" borderId="14" xfId="0" applyNumberFormat="1" applyFont="1" applyBorder="1"/>
    <xf numFmtId="168" fontId="0" fillId="0" borderId="7" xfId="0" applyNumberFormat="1" applyBorder="1"/>
    <xf numFmtId="168" fontId="0" fillId="0" borderId="8" xfId="0" applyNumberFormat="1" applyBorder="1"/>
    <xf numFmtId="168" fontId="0" fillId="0" borderId="9" xfId="0" applyNumberFormat="1" applyBorder="1"/>
    <xf numFmtId="168" fontId="0" fillId="0" borderId="10" xfId="0" applyNumberFormat="1" applyBorder="1"/>
    <xf numFmtId="168" fontId="0" fillId="12" borderId="4" xfId="0" applyNumberFormat="1" applyFill="1" applyBorder="1" applyAlignment="1">
      <alignment horizontal="right"/>
    </xf>
    <xf numFmtId="168" fontId="0" fillId="12" borderId="5" xfId="0" applyNumberFormat="1" applyFill="1" applyBorder="1" applyAlignment="1">
      <alignment horizontal="right"/>
    </xf>
    <xf numFmtId="168" fontId="0" fillId="12" borderId="6" xfId="0" applyNumberFormat="1" applyFill="1" applyBorder="1" applyAlignment="1">
      <alignment horizontal="right"/>
    </xf>
    <xf numFmtId="164" fontId="21" fillId="7" borderId="1" xfId="0" applyNumberFormat="1" applyFont="1" applyFill="1" applyBorder="1" applyAlignment="1">
      <alignment horizontal="right" vertical="center"/>
    </xf>
    <xf numFmtId="11" fontId="0" fillId="11" borderId="3" xfId="0" applyNumberFormat="1" applyFill="1" applyBorder="1"/>
    <xf numFmtId="0" fontId="4" fillId="13" borderId="26" xfId="0" applyFont="1" applyFill="1" applyBorder="1" applyAlignment="1">
      <alignment horizontal="left" vertical="center" indent="1"/>
    </xf>
    <xf numFmtId="0" fontId="12" fillId="0" borderId="3" xfId="0" applyFont="1" applyBorder="1" applyAlignment="1">
      <alignment vertical="center"/>
    </xf>
    <xf numFmtId="167" fontId="0" fillId="10" borderId="3" xfId="0" applyNumberFormat="1" applyFill="1" applyBorder="1" applyAlignment="1">
      <alignment vertical="center"/>
    </xf>
    <xf numFmtId="0" fontId="0" fillId="0" borderId="27" xfId="0" applyBorder="1"/>
    <xf numFmtId="168" fontId="0" fillId="0" borderId="18" xfId="0" applyNumberFormat="1" applyBorder="1" applyAlignment="1">
      <alignment horizontal="right"/>
    </xf>
    <xf numFmtId="168" fontId="0" fillId="0" borderId="19" xfId="0" applyNumberFormat="1" applyBorder="1" applyAlignment="1">
      <alignment horizontal="right"/>
    </xf>
    <xf numFmtId="0" fontId="0" fillId="0" borderId="28" xfId="0" applyBorder="1"/>
    <xf numFmtId="168" fontId="0" fillId="0" borderId="21" xfId="0" applyNumberFormat="1" applyBorder="1" applyAlignment="1">
      <alignment horizontal="right"/>
    </xf>
    <xf numFmtId="0" fontId="17" fillId="8" borderId="29" xfId="0" applyFont="1" applyFill="1" applyBorder="1" applyAlignment="1">
      <alignment horizontal="left" vertical="center" indent="1"/>
    </xf>
    <xf numFmtId="168" fontId="0" fillId="12" borderId="30" xfId="0" applyNumberFormat="1" applyFill="1" applyBorder="1" applyAlignment="1">
      <alignment horizontal="right"/>
    </xf>
    <xf numFmtId="168" fontId="12" fillId="0" borderId="21" xfId="0" applyNumberFormat="1" applyFont="1" applyBorder="1" applyAlignment="1">
      <alignment horizontal="right"/>
    </xf>
    <xf numFmtId="168" fontId="12" fillId="0" borderId="21" xfId="0" applyNumberFormat="1" applyFont="1" applyBorder="1"/>
    <xf numFmtId="0" fontId="0" fillId="0" borderId="31" xfId="0" applyBorder="1"/>
    <xf numFmtId="168" fontId="0" fillId="0" borderId="25" xfId="0" applyNumberFormat="1" applyBorder="1" applyAlignment="1">
      <alignment horizontal="right"/>
    </xf>
    <xf numFmtId="0" fontId="0" fillId="0" borderId="32" xfId="0" applyBorder="1"/>
    <xf numFmtId="168" fontId="0" fillId="0" borderId="22" xfId="0" applyNumberFormat="1" applyBorder="1" applyAlignment="1">
      <alignment horizontal="right"/>
    </xf>
    <xf numFmtId="0" fontId="0" fillId="0" borderId="33" xfId="0" applyBorder="1"/>
    <xf numFmtId="168" fontId="0" fillId="0" borderId="23" xfId="0" applyNumberFormat="1" applyBorder="1" applyAlignment="1">
      <alignment horizontal="right"/>
    </xf>
    <xf numFmtId="168" fontId="0" fillId="0" borderId="23" xfId="0" applyNumberFormat="1" applyBorder="1"/>
    <xf numFmtId="168" fontId="0" fillId="0" borderId="24" xfId="0" applyNumberFormat="1" applyBorder="1"/>
    <xf numFmtId="168" fontId="0" fillId="0" borderId="21" xfId="0" applyNumberFormat="1" applyBorder="1"/>
    <xf numFmtId="168" fontId="16" fillId="0" borderId="0" xfId="0" applyNumberFormat="1" applyFont="1" applyAlignment="1">
      <alignment horizontal="right"/>
    </xf>
    <xf numFmtId="168" fontId="16" fillId="0" borderId="21" xfId="0" applyNumberFormat="1" applyFont="1" applyBorder="1" applyAlignment="1">
      <alignment horizontal="right"/>
    </xf>
    <xf numFmtId="168" fontId="12" fillId="0" borderId="23" xfId="0" applyNumberFormat="1" applyFont="1" applyBorder="1" applyAlignment="1">
      <alignment horizontal="right"/>
    </xf>
    <xf numFmtId="168" fontId="12" fillId="0" borderId="23" xfId="0" applyNumberFormat="1" applyFont="1" applyBorder="1"/>
    <xf numFmtId="168" fontId="12" fillId="0" borderId="24" xfId="0" applyNumberFormat="1" applyFont="1" applyBorder="1"/>
    <xf numFmtId="168" fontId="0" fillId="0" borderId="4" xfId="0" applyNumberFormat="1" applyBorder="1" applyAlignment="1">
      <alignment horizontal="right"/>
    </xf>
    <xf numFmtId="168" fontId="0" fillId="0" borderId="5" xfId="0" applyNumberFormat="1" applyBorder="1" applyAlignment="1">
      <alignment horizontal="right"/>
    </xf>
    <xf numFmtId="168" fontId="0" fillId="0" borderId="6" xfId="0" applyNumberFormat="1" applyBorder="1" applyAlignment="1">
      <alignment horizontal="right"/>
    </xf>
    <xf numFmtId="0" fontId="17" fillId="0" borderId="3" xfId="0" applyFont="1" applyBorder="1" applyAlignment="1">
      <alignment horizontal="left" vertical="center" indent="1"/>
    </xf>
    <xf numFmtId="11" fontId="15" fillId="0" borderId="20" xfId="0" quotePrefix="1" applyNumberFormat="1" applyFont="1" applyBorder="1"/>
    <xf numFmtId="11" fontId="0" fillId="11" borderId="29" xfId="0" applyNumberFormat="1" applyFill="1" applyBorder="1"/>
    <xf numFmtId="0" fontId="12" fillId="0" borderId="0" xfId="0" applyFont="1"/>
    <xf numFmtId="168" fontId="15" fillId="10" borderId="7" xfId="0" applyNumberFormat="1" applyFont="1" applyFill="1" applyBorder="1" applyAlignment="1">
      <alignment horizontal="right"/>
    </xf>
    <xf numFmtId="168" fontId="15" fillId="10" borderId="8" xfId="0" applyNumberFormat="1" applyFont="1" applyFill="1" applyBorder="1" applyAlignment="1">
      <alignment horizontal="right"/>
    </xf>
    <xf numFmtId="168" fontId="15" fillId="10" borderId="9" xfId="0" applyNumberFormat="1" applyFont="1" applyFill="1" applyBorder="1" applyAlignment="1">
      <alignment horizontal="right"/>
    </xf>
    <xf numFmtId="168" fontId="15" fillId="10" borderId="12" xfId="0" applyNumberFormat="1" applyFont="1" applyFill="1" applyBorder="1" applyAlignment="1">
      <alignment horizontal="right"/>
    </xf>
    <xf numFmtId="168" fontId="15" fillId="10" borderId="13" xfId="0" applyNumberFormat="1" applyFont="1" applyFill="1" applyBorder="1" applyAlignment="1">
      <alignment horizontal="right"/>
    </xf>
    <xf numFmtId="168" fontId="15" fillId="10" borderId="14" xfId="0" applyNumberFormat="1" applyFont="1" applyFill="1" applyBorder="1" applyAlignment="1">
      <alignment horizontal="right"/>
    </xf>
    <xf numFmtId="168" fontId="8" fillId="0" borderId="0" xfId="0" applyNumberFormat="1" applyFont="1" applyAlignment="1">
      <alignment horizontal="right" vertical="center"/>
    </xf>
    <xf numFmtId="0" fontId="11" fillId="0" borderId="34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0" fillId="0" borderId="34" xfId="0" applyBorder="1"/>
    <xf numFmtId="168" fontId="0" fillId="0" borderId="35" xfId="0" applyNumberFormat="1" applyBorder="1" applyAlignment="1">
      <alignment horizontal="right"/>
    </xf>
    <xf numFmtId="168" fontId="0" fillId="0" borderId="36" xfId="0" applyNumberFormat="1" applyBorder="1" applyAlignment="1">
      <alignment horizontal="right"/>
    </xf>
    <xf numFmtId="0" fontId="16" fillId="0" borderId="28" xfId="0" applyFont="1" applyBorder="1"/>
    <xf numFmtId="168" fontId="12" fillId="0" borderId="24" xfId="0" applyNumberFormat="1" applyFont="1" applyBorder="1" applyAlignment="1">
      <alignment horizontal="right"/>
    </xf>
    <xf numFmtId="168" fontId="0" fillId="0" borderId="24" xfId="0" applyNumberFormat="1" applyBorder="1" applyAlignment="1">
      <alignment horizontal="right"/>
    </xf>
    <xf numFmtId="168" fontId="16" fillId="0" borderId="0" xfId="0" applyNumberFormat="1" applyFont="1"/>
    <xf numFmtId="0" fontId="0" fillId="0" borderId="23" xfId="0" applyBorder="1"/>
    <xf numFmtId="0" fontId="0" fillId="0" borderId="24" xfId="0" applyBorder="1"/>
    <xf numFmtId="167" fontId="0" fillId="10" borderId="4" xfId="0" applyNumberFormat="1" applyFill="1" applyBorder="1" applyAlignment="1">
      <alignment horizontal="center" vertical="center"/>
    </xf>
    <xf numFmtId="167" fontId="0" fillId="10" borderId="5" xfId="0" applyNumberFormat="1" applyFill="1" applyBorder="1" applyAlignment="1">
      <alignment horizontal="center" vertical="center"/>
    </xf>
    <xf numFmtId="167" fontId="0" fillId="10" borderId="6" xfId="0" applyNumberFormat="1" applyFill="1" applyBorder="1" applyAlignment="1">
      <alignment horizontal="center" vertical="center"/>
    </xf>
    <xf numFmtId="167" fontId="0" fillId="10" borderId="3" xfId="0" applyNumberFormat="1" applyFill="1" applyBorder="1" applyAlignment="1">
      <alignment horizontal="center" vertical="center"/>
    </xf>
    <xf numFmtId="168" fontId="0" fillId="10" borderId="4" xfId="0" applyNumberFormat="1" applyFill="1" applyBorder="1" applyAlignment="1">
      <alignment horizontal="center" vertical="center"/>
    </xf>
    <xf numFmtId="168" fontId="0" fillId="10" borderId="5" xfId="0" applyNumberFormat="1" applyFill="1" applyBorder="1" applyAlignment="1">
      <alignment horizontal="center" vertical="center"/>
    </xf>
    <xf numFmtId="168" fontId="0" fillId="10" borderId="6" xfId="0" applyNumberFormat="1" applyFill="1" applyBorder="1" applyAlignment="1">
      <alignment horizontal="center" vertical="center"/>
    </xf>
    <xf numFmtId="168" fontId="0" fillId="10" borderId="30" xfId="0" applyNumberFormat="1" applyFill="1" applyBorder="1" applyAlignment="1">
      <alignment horizontal="center" vertical="center"/>
    </xf>
    <xf numFmtId="168" fontId="9" fillId="7" borderId="1" xfId="0" applyNumberFormat="1" applyFont="1" applyFill="1" applyBorder="1" applyAlignment="1">
      <alignment horizontal="right" vertical="center"/>
    </xf>
    <xf numFmtId="168" fontId="9" fillId="5" borderId="1" xfId="0" applyNumberFormat="1" applyFont="1" applyFill="1" applyBorder="1" applyAlignment="1">
      <alignment horizontal="right" vertical="center"/>
    </xf>
    <xf numFmtId="0" fontId="0" fillId="15" borderId="0" xfId="0" applyFill="1"/>
    <xf numFmtId="0" fontId="0" fillId="16" borderId="0" xfId="0" applyFill="1"/>
    <xf numFmtId="0" fontId="25" fillId="17" borderId="37" xfId="0" applyFont="1" applyFill="1" applyBorder="1" applyAlignment="1">
      <alignment horizontal="left" vertical="center"/>
    </xf>
    <xf numFmtId="0" fontId="26" fillId="17" borderId="37" xfId="0" applyFont="1" applyFill="1" applyBorder="1" applyAlignment="1">
      <alignment horizontal="left" vertical="center"/>
    </xf>
    <xf numFmtId="0" fontId="0" fillId="0" borderId="37" xfId="0" applyBorder="1"/>
    <xf numFmtId="166" fontId="27" fillId="18" borderId="37" xfId="0" applyNumberFormat="1" applyFont="1" applyFill="1" applyBorder="1" applyAlignment="1">
      <alignment horizontal="right" vertical="center"/>
    </xf>
    <xf numFmtId="0" fontId="25" fillId="19" borderId="37" xfId="0" applyFont="1" applyFill="1" applyBorder="1" applyAlignment="1">
      <alignment horizontal="left" vertical="center"/>
    </xf>
    <xf numFmtId="0" fontId="26" fillId="19" borderId="37" xfId="0" applyFont="1" applyFill="1" applyBorder="1" applyAlignment="1">
      <alignment horizontal="left" vertical="center"/>
    </xf>
    <xf numFmtId="166" fontId="27" fillId="20" borderId="37" xfId="0" applyNumberFormat="1" applyFont="1" applyFill="1" applyBorder="1" applyAlignment="1">
      <alignment horizontal="right" vertical="center"/>
    </xf>
    <xf numFmtId="166" fontId="28" fillId="21" borderId="37" xfId="0" applyNumberFormat="1" applyFont="1" applyFill="1" applyBorder="1" applyAlignment="1">
      <alignment horizontal="right" vertical="center"/>
    </xf>
    <xf numFmtId="170" fontId="28" fillId="21" borderId="37" xfId="0" applyNumberFormat="1" applyFont="1" applyFill="1" applyBorder="1" applyAlignment="1">
      <alignment horizontal="right" vertical="center"/>
    </xf>
    <xf numFmtId="170" fontId="27" fillId="18" borderId="37" xfId="0" applyNumberFormat="1" applyFont="1" applyFill="1" applyBorder="1" applyAlignment="1">
      <alignment horizontal="right" vertical="center"/>
    </xf>
    <xf numFmtId="170" fontId="27" fillId="20" borderId="37" xfId="0" applyNumberFormat="1" applyFont="1" applyFill="1" applyBorder="1" applyAlignment="1">
      <alignment horizontal="right" vertical="center"/>
    </xf>
    <xf numFmtId="164" fontId="27" fillId="18" borderId="37" xfId="0" applyNumberFormat="1" applyFont="1" applyFill="1" applyBorder="1" applyAlignment="1">
      <alignment horizontal="right" vertical="center"/>
    </xf>
    <xf numFmtId="169" fontId="28" fillId="21" borderId="37" xfId="0" applyNumberFormat="1" applyFont="1" applyFill="1" applyBorder="1" applyAlignment="1">
      <alignment horizontal="right" vertical="center"/>
    </xf>
    <xf numFmtId="169" fontId="27" fillId="20" borderId="37" xfId="0" applyNumberFormat="1" applyFont="1" applyFill="1" applyBorder="1" applyAlignment="1">
      <alignment horizontal="right" vertical="center"/>
    </xf>
    <xf numFmtId="164" fontId="28" fillId="21" borderId="37" xfId="0" applyNumberFormat="1" applyFont="1" applyFill="1" applyBorder="1" applyAlignment="1">
      <alignment horizontal="right" vertical="center"/>
    </xf>
    <xf numFmtId="166" fontId="33" fillId="23" borderId="0" xfId="0" applyNumberFormat="1" applyFont="1" applyFill="1" applyAlignment="1">
      <alignment horizontal="right" vertical="center"/>
    </xf>
    <xf numFmtId="0" fontId="0" fillId="14" borderId="0" xfId="0" applyFill="1"/>
    <xf numFmtId="0" fontId="0" fillId="22" borderId="0" xfId="0" applyFill="1"/>
    <xf numFmtId="0" fontId="0" fillId="17" borderId="0" xfId="0" applyFill="1"/>
    <xf numFmtId="0" fontId="36" fillId="17" borderId="0" xfId="0" applyFont="1" applyFill="1" applyAlignment="1">
      <alignment horizontal="left" vertical="center"/>
    </xf>
    <xf numFmtId="0" fontId="3" fillId="6" borderId="38" xfId="0" applyFont="1" applyFill="1" applyBorder="1" applyAlignment="1">
      <alignment vertical="center"/>
    </xf>
    <xf numFmtId="0" fontId="3" fillId="6" borderId="39" xfId="0" applyFont="1" applyFill="1" applyBorder="1" applyAlignment="1">
      <alignment vertical="center"/>
    </xf>
    <xf numFmtId="0" fontId="0" fillId="0" borderId="41" xfId="0" applyBorder="1"/>
    <xf numFmtId="0" fontId="3" fillId="4" borderId="42" xfId="0" applyFont="1" applyFill="1" applyBorder="1" applyAlignment="1">
      <alignment horizontal="center" vertical="center"/>
    </xf>
    <xf numFmtId="0" fontId="0" fillId="5" borderId="41" xfId="0" applyFill="1" applyBorder="1"/>
    <xf numFmtId="168" fontId="9" fillId="7" borderId="42" xfId="0" applyNumberFormat="1" applyFont="1" applyFill="1" applyBorder="1" applyAlignment="1">
      <alignment horizontal="right" vertical="center"/>
    </xf>
    <xf numFmtId="168" fontId="9" fillId="5" borderId="42" xfId="0" applyNumberFormat="1" applyFont="1" applyFill="1" applyBorder="1" applyAlignment="1">
      <alignment horizontal="right" vertical="center"/>
    </xf>
    <xf numFmtId="168" fontId="5" fillId="7" borderId="42" xfId="0" applyNumberFormat="1" applyFont="1" applyFill="1" applyBorder="1" applyAlignment="1">
      <alignment horizontal="right" vertical="center"/>
    </xf>
    <xf numFmtId="168" fontId="6" fillId="8" borderId="43" xfId="0" applyNumberFormat="1" applyFont="1" applyFill="1" applyBorder="1" applyAlignment="1">
      <alignment horizontal="right" vertical="center"/>
    </xf>
    <xf numFmtId="168" fontId="5" fillId="5" borderId="42" xfId="0" applyNumberFormat="1" applyFont="1" applyFill="1" applyBorder="1" applyAlignment="1">
      <alignment horizontal="right" vertical="center"/>
    </xf>
    <xf numFmtId="168" fontId="0" fillId="5" borderId="41" xfId="0" applyNumberFormat="1" applyFill="1" applyBorder="1"/>
    <xf numFmtId="168" fontId="18" fillId="5" borderId="42" xfId="0" applyNumberFormat="1" applyFont="1" applyFill="1" applyBorder="1" applyAlignment="1">
      <alignment horizontal="right" vertical="center"/>
    </xf>
    <xf numFmtId="164" fontId="21" fillId="7" borderId="42" xfId="0" applyNumberFormat="1" applyFont="1" applyFill="1" applyBorder="1" applyAlignment="1">
      <alignment horizontal="right" vertical="center"/>
    </xf>
    <xf numFmtId="169" fontId="6" fillId="5" borderId="43" xfId="0" applyNumberFormat="1" applyFont="1" applyFill="1" applyBorder="1" applyAlignment="1">
      <alignment horizontal="right" vertical="center"/>
    </xf>
    <xf numFmtId="167" fontId="0" fillId="10" borderId="44" xfId="0" applyNumberFormat="1" applyFill="1" applyBorder="1" applyAlignment="1">
      <alignment horizontal="center" vertical="center"/>
    </xf>
    <xf numFmtId="167" fontId="0" fillId="10" borderId="45" xfId="0" applyNumberFormat="1" applyFill="1" applyBorder="1" applyAlignment="1">
      <alignment horizontal="center" vertical="center"/>
    </xf>
    <xf numFmtId="0" fontId="3" fillId="6" borderId="46" xfId="0" applyFont="1" applyFill="1" applyBorder="1" applyAlignment="1">
      <alignment vertical="center"/>
    </xf>
    <xf numFmtId="0" fontId="3" fillId="24" borderId="40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166" fontId="40" fillId="0" borderId="0" xfId="0" applyNumberFormat="1" applyFont="1"/>
    <xf numFmtId="164" fontId="21" fillId="7" borderId="0" xfId="0" applyNumberFormat="1" applyFont="1" applyFill="1" applyAlignment="1">
      <alignment horizontal="right" vertical="center"/>
    </xf>
    <xf numFmtId="164" fontId="27" fillId="20" borderId="0" xfId="0" applyNumberFormat="1" applyFont="1" applyFill="1" applyAlignment="1">
      <alignment horizontal="right" vertical="center"/>
    </xf>
    <xf numFmtId="0" fontId="41" fillId="0" borderId="0" xfId="0" applyFont="1"/>
    <xf numFmtId="0" fontId="42" fillId="0" borderId="13" xfId="0" applyFont="1" applyBorder="1"/>
    <xf numFmtId="0" fontId="43" fillId="0" borderId="0" xfId="0" applyFont="1"/>
    <xf numFmtId="0" fontId="42" fillId="0" borderId="0" xfId="0" applyFont="1"/>
    <xf numFmtId="0" fontId="43" fillId="0" borderId="13" xfId="0" applyFont="1" applyBorder="1"/>
    <xf numFmtId="171" fontId="0" fillId="0" borderId="13" xfId="0" applyNumberFormat="1" applyBorder="1"/>
    <xf numFmtId="168" fontId="0" fillId="0" borderId="13" xfId="0" applyNumberFormat="1" applyBorder="1"/>
    <xf numFmtId="175" fontId="27" fillId="25" borderId="0" xfId="0" applyNumberFormat="1" applyFont="1" applyFill="1"/>
    <xf numFmtId="0" fontId="6" fillId="8" borderId="26" xfId="0" applyFont="1" applyFill="1" applyBorder="1" applyAlignment="1">
      <alignment horizontal="left" vertical="center" indent="1"/>
    </xf>
    <xf numFmtId="168" fontId="10" fillId="8" borderId="47" xfId="0" applyNumberFormat="1" applyFont="1" applyFill="1" applyBorder="1" applyAlignment="1">
      <alignment horizontal="right" vertical="center"/>
    </xf>
    <xf numFmtId="168" fontId="10" fillId="8" borderId="48" xfId="0" applyNumberFormat="1" applyFont="1" applyFill="1" applyBorder="1" applyAlignment="1">
      <alignment horizontal="right" vertical="center"/>
    </xf>
    <xf numFmtId="0" fontId="42" fillId="12" borderId="4" xfId="0" applyFont="1" applyFill="1" applyBorder="1"/>
    <xf numFmtId="172" fontId="42" fillId="12" borderId="6" xfId="0" applyNumberFormat="1" applyFont="1" applyFill="1" applyBorder="1"/>
    <xf numFmtId="168" fontId="42" fillId="12" borderId="6" xfId="0" applyNumberFormat="1" applyFont="1" applyFill="1" applyBorder="1"/>
    <xf numFmtId="0" fontId="0" fillId="6" borderId="0" xfId="0" applyFill="1"/>
    <xf numFmtId="0" fontId="24" fillId="14" borderId="0" xfId="0" applyFont="1" applyFill="1" applyAlignment="1">
      <alignment vertical="center"/>
    </xf>
    <xf numFmtId="166" fontId="0" fillId="0" borderId="6" xfId="0" applyNumberFormat="1" applyBorder="1"/>
    <xf numFmtId="0" fontId="24" fillId="14" borderId="15" xfId="0" applyFont="1" applyFill="1" applyBorder="1" applyAlignment="1">
      <alignment vertical="center"/>
    </xf>
    <xf numFmtId="0" fontId="46" fillId="0" borderId="15" xfId="3" applyBorder="1"/>
    <xf numFmtId="0" fontId="46" fillId="0" borderId="17" xfId="3" applyBorder="1"/>
    <xf numFmtId="0" fontId="0" fillId="0" borderId="16" xfId="0" applyBorder="1"/>
    <xf numFmtId="0" fontId="46" fillId="0" borderId="3" xfId="3" applyBorder="1"/>
    <xf numFmtId="175" fontId="0" fillId="0" borderId="6" xfId="0" applyNumberFormat="1" applyBorder="1"/>
    <xf numFmtId="176" fontId="42" fillId="12" borderId="15" xfId="0" applyNumberFormat="1" applyFont="1" applyFill="1" applyBorder="1"/>
    <xf numFmtId="176" fontId="42" fillId="12" borderId="3" xfId="0" applyNumberFormat="1" applyFont="1" applyFill="1" applyBorder="1"/>
    <xf numFmtId="0" fontId="0" fillId="26" borderId="0" xfId="0" applyFill="1"/>
    <xf numFmtId="0" fontId="0" fillId="0" borderId="7" xfId="0" applyBorder="1"/>
    <xf numFmtId="168" fontId="42" fillId="0" borderId="11" xfId="0" applyNumberFormat="1" applyFont="1" applyBorder="1"/>
    <xf numFmtId="3" fontId="0" fillId="0" borderId="14" xfId="0" applyNumberFormat="1" applyBorder="1"/>
    <xf numFmtId="0" fontId="42" fillId="0" borderId="7" xfId="0" applyFont="1" applyBorder="1"/>
    <xf numFmtId="168" fontId="42" fillId="0" borderId="9" xfId="0" applyNumberFormat="1" applyFont="1" applyBorder="1"/>
    <xf numFmtId="0" fontId="42" fillId="0" borderId="12" xfId="0" applyFont="1" applyBorder="1"/>
    <xf numFmtId="168" fontId="42" fillId="0" borderId="14" xfId="0" applyNumberFormat="1" applyFont="1" applyBorder="1"/>
    <xf numFmtId="172" fontId="0" fillId="0" borderId="9" xfId="0" applyNumberFormat="1" applyBorder="1"/>
    <xf numFmtId="172" fontId="0" fillId="0" borderId="14" xfId="0" applyNumberFormat="1" applyBorder="1"/>
    <xf numFmtId="173" fontId="44" fillId="0" borderId="8" xfId="0" applyNumberFormat="1" applyFont="1" applyBorder="1"/>
    <xf numFmtId="0" fontId="44" fillId="0" borderId="8" xfId="0" applyFont="1" applyBorder="1"/>
    <xf numFmtId="0" fontId="44" fillId="0" borderId="9" xfId="0" applyFont="1" applyBorder="1"/>
    <xf numFmtId="174" fontId="0" fillId="0" borderId="0" xfId="0" applyNumberFormat="1"/>
    <xf numFmtId="174" fontId="0" fillId="0" borderId="11" xfId="0" applyNumberFormat="1" applyBorder="1"/>
    <xf numFmtId="168" fontId="0" fillId="0" borderId="14" xfId="0" applyNumberFormat="1" applyBorder="1"/>
    <xf numFmtId="0" fontId="42" fillId="0" borderId="10" xfId="0" applyFont="1" applyBorder="1"/>
    <xf numFmtId="176" fontId="42" fillId="12" borderId="7" xfId="0" applyNumberFormat="1" applyFont="1" applyFill="1" applyBorder="1"/>
    <xf numFmtId="171" fontId="0" fillId="0" borderId="0" xfId="0" applyNumberFormat="1"/>
    <xf numFmtId="9" fontId="42" fillId="0" borderId="4" xfId="2" applyFont="1" applyBorder="1" applyAlignment="1">
      <alignment horizontal="left"/>
    </xf>
    <xf numFmtId="9" fontId="42" fillId="0" borderId="5" xfId="2" applyFont="1" applyBorder="1" applyAlignment="1">
      <alignment horizontal="left"/>
    </xf>
    <xf numFmtId="9" fontId="42" fillId="0" borderId="6" xfId="2" applyFont="1" applyBorder="1" applyAlignment="1">
      <alignment horizontal="left"/>
    </xf>
    <xf numFmtId="172" fontId="42" fillId="0" borderId="5" xfId="2" applyNumberFormat="1" applyFont="1" applyBorder="1" applyAlignment="1">
      <alignment horizontal="left"/>
    </xf>
    <xf numFmtId="172" fontId="42" fillId="0" borderId="6" xfId="2" applyNumberFormat="1" applyFont="1" applyBorder="1" applyAlignment="1">
      <alignment horizontal="left"/>
    </xf>
    <xf numFmtId="0" fontId="42" fillId="0" borderId="15" xfId="0" applyFont="1" applyBorder="1" applyAlignment="1">
      <alignment horizontal="left"/>
    </xf>
    <xf numFmtId="0" fontId="42" fillId="0" borderId="16" xfId="0" applyFont="1" applyBorder="1" applyAlignment="1">
      <alignment horizontal="left"/>
    </xf>
    <xf numFmtId="0" fontId="42" fillId="0" borderId="17" xfId="0" applyFont="1" applyBorder="1" applyAlignment="1">
      <alignment horizontal="left"/>
    </xf>
    <xf numFmtId="0" fontId="42" fillId="0" borderId="3" xfId="0" applyFont="1" applyBorder="1"/>
    <xf numFmtId="9" fontId="42" fillId="0" borderId="15" xfId="2" applyFont="1" applyBorder="1" applyAlignment="1">
      <alignment horizontal="left"/>
    </xf>
    <xf numFmtId="9" fontId="42" fillId="0" borderId="16" xfId="2" applyFont="1" applyBorder="1" applyAlignment="1">
      <alignment horizontal="left"/>
    </xf>
    <xf numFmtId="9" fontId="42" fillId="0" borderId="17" xfId="2" applyFont="1" applyBorder="1" applyAlignment="1">
      <alignment horizontal="left"/>
    </xf>
    <xf numFmtId="0" fontId="42" fillId="0" borderId="4" xfId="0" applyFont="1" applyBorder="1"/>
    <xf numFmtId="0" fontId="42" fillId="0" borderId="5" xfId="0" applyFont="1" applyBorder="1"/>
    <xf numFmtId="0" fontId="42" fillId="0" borderId="6" xfId="0" applyFont="1" applyBorder="1"/>
    <xf numFmtId="172" fontId="0" fillId="0" borderId="0" xfId="0" applyNumberFormat="1"/>
    <xf numFmtId="0" fontId="42" fillId="12" borderId="3" xfId="0" applyFont="1" applyFill="1" applyBorder="1"/>
    <xf numFmtId="49" fontId="44" fillId="27" borderId="3" xfId="0" applyNumberFormat="1" applyFont="1" applyFill="1" applyBorder="1"/>
    <xf numFmtId="43" fontId="0" fillId="0" borderId="0" xfId="1" applyFont="1"/>
    <xf numFmtId="175" fontId="0" fillId="0" borderId="0" xfId="0" applyNumberFormat="1"/>
    <xf numFmtId="175" fontId="0" fillId="0" borderId="11" xfId="0" applyNumberFormat="1" applyBorder="1"/>
    <xf numFmtId="172" fontId="0" fillId="0" borderId="13" xfId="0" applyNumberFormat="1" applyBorder="1"/>
    <xf numFmtId="175" fontId="0" fillId="0" borderId="13" xfId="0" applyNumberFormat="1" applyBorder="1"/>
    <xf numFmtId="175" fontId="0" fillId="0" borderId="14" xfId="0" applyNumberFormat="1" applyBorder="1"/>
    <xf numFmtId="0" fontId="47" fillId="0" borderId="0" xfId="0" applyFont="1"/>
    <xf numFmtId="0" fontId="48" fillId="0" borderId="0" xfId="0" applyFont="1"/>
    <xf numFmtId="0" fontId="3" fillId="6" borderId="38" xfId="0" applyFont="1" applyFill="1" applyBorder="1" applyAlignment="1">
      <alignment horizontal="left" vertical="center"/>
    </xf>
    <xf numFmtId="0" fontId="0" fillId="0" borderId="52" xfId="0" applyBorder="1"/>
    <xf numFmtId="0" fontId="3" fillId="4" borderId="38" xfId="0" applyFont="1" applyFill="1" applyBorder="1" applyAlignment="1">
      <alignment horizontal="left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53" xfId="0" applyFont="1" applyFill="1" applyBorder="1" applyAlignment="1">
      <alignment horizontal="center" vertical="center"/>
    </xf>
    <xf numFmtId="0" fontId="0" fillId="5" borderId="52" xfId="0" applyFill="1" applyBorder="1"/>
    <xf numFmtId="0" fontId="0" fillId="6" borderId="39" xfId="0" applyFill="1" applyBorder="1"/>
    <xf numFmtId="0" fontId="0" fillId="6" borderId="53" xfId="0" applyFill="1" applyBorder="1"/>
    <xf numFmtId="0" fontId="4" fillId="5" borderId="38" xfId="0" applyFont="1" applyFill="1" applyBorder="1" applyAlignment="1">
      <alignment horizontal="left" vertical="center" indent="2"/>
    </xf>
    <xf numFmtId="168" fontId="9" fillId="5" borderId="39" xfId="0" applyNumberFormat="1" applyFont="1" applyFill="1" applyBorder="1" applyAlignment="1">
      <alignment horizontal="right" vertical="center"/>
    </xf>
    <xf numFmtId="168" fontId="9" fillId="5" borderId="53" xfId="0" applyNumberFormat="1" applyFont="1" applyFill="1" applyBorder="1" applyAlignment="1">
      <alignment horizontal="right" vertical="center"/>
    </xf>
    <xf numFmtId="0" fontId="3" fillId="6" borderId="38" xfId="0" applyFont="1" applyFill="1" applyBorder="1" applyAlignment="1">
      <alignment horizontal="left" vertical="center" indent="2"/>
    </xf>
    <xf numFmtId="168" fontId="0" fillId="6" borderId="39" xfId="0" applyNumberFormat="1" applyFill="1" applyBorder="1"/>
    <xf numFmtId="168" fontId="0" fillId="6" borderId="53" xfId="0" applyNumberFormat="1" applyFill="1" applyBorder="1"/>
    <xf numFmtId="0" fontId="4" fillId="7" borderId="38" xfId="0" applyFont="1" applyFill="1" applyBorder="1" applyAlignment="1">
      <alignment horizontal="left" vertical="center" indent="3"/>
    </xf>
    <xf numFmtId="168" fontId="9" fillId="7" borderId="39" xfId="0" applyNumberFormat="1" applyFont="1" applyFill="1" applyBorder="1" applyAlignment="1">
      <alignment horizontal="right" vertical="center"/>
    </xf>
    <xf numFmtId="168" fontId="9" fillId="7" borderId="53" xfId="0" applyNumberFormat="1" applyFont="1" applyFill="1" applyBorder="1" applyAlignment="1">
      <alignment horizontal="right" vertical="center"/>
    </xf>
    <xf numFmtId="0" fontId="4" fillId="5" borderId="38" xfId="0" applyFont="1" applyFill="1" applyBorder="1" applyAlignment="1">
      <alignment horizontal="left" vertical="center" indent="3"/>
    </xf>
    <xf numFmtId="168" fontId="5" fillId="5" borderId="39" xfId="0" applyNumberFormat="1" applyFont="1" applyFill="1" applyBorder="1" applyAlignment="1">
      <alignment horizontal="right" vertical="center"/>
    </xf>
    <xf numFmtId="168" fontId="5" fillId="5" borderId="53" xfId="0" applyNumberFormat="1" applyFont="1" applyFill="1" applyBorder="1" applyAlignment="1">
      <alignment horizontal="right" vertical="center"/>
    </xf>
    <xf numFmtId="168" fontId="5" fillId="7" borderId="39" xfId="0" applyNumberFormat="1" applyFont="1" applyFill="1" applyBorder="1" applyAlignment="1">
      <alignment horizontal="right" vertical="center"/>
    </xf>
    <xf numFmtId="168" fontId="5" fillId="7" borderId="53" xfId="0" applyNumberFormat="1" applyFont="1" applyFill="1" applyBorder="1" applyAlignment="1">
      <alignment horizontal="right" vertical="center"/>
    </xf>
    <xf numFmtId="0" fontId="6" fillId="8" borderId="54" xfId="0" applyFont="1" applyFill="1" applyBorder="1" applyAlignment="1">
      <alignment horizontal="left" vertical="center" indent="1"/>
    </xf>
    <xf numFmtId="168" fontId="6" fillId="8" borderId="55" xfId="0" applyNumberFormat="1" applyFont="1" applyFill="1" applyBorder="1" applyAlignment="1">
      <alignment horizontal="right" vertical="center"/>
    </xf>
    <xf numFmtId="168" fontId="6" fillId="8" borderId="56" xfId="0" applyNumberFormat="1" applyFont="1" applyFill="1" applyBorder="1" applyAlignment="1">
      <alignment horizontal="right" vertical="center"/>
    </xf>
    <xf numFmtId="168" fontId="0" fillId="5" borderId="52" xfId="0" applyNumberFormat="1" applyFill="1" applyBorder="1"/>
    <xf numFmtId="0" fontId="4" fillId="7" borderId="38" xfId="0" applyFont="1" applyFill="1" applyBorder="1" applyAlignment="1">
      <alignment horizontal="left" vertical="center" indent="2"/>
    </xf>
    <xf numFmtId="168" fontId="22" fillId="7" borderId="39" xfId="0" applyNumberFormat="1" applyFont="1" applyFill="1" applyBorder="1" applyAlignment="1">
      <alignment horizontal="right" vertical="center"/>
    </xf>
    <xf numFmtId="168" fontId="22" fillId="7" borderId="53" xfId="0" applyNumberFormat="1" applyFont="1" applyFill="1" applyBorder="1" applyAlignment="1">
      <alignment horizontal="right" vertical="center"/>
    </xf>
    <xf numFmtId="0" fontId="6" fillId="5" borderId="54" xfId="0" applyFont="1" applyFill="1" applyBorder="1" applyAlignment="1">
      <alignment horizontal="left" vertical="center" indent="1"/>
    </xf>
    <xf numFmtId="168" fontId="6" fillId="5" borderId="55" xfId="0" applyNumberFormat="1" applyFont="1" applyFill="1" applyBorder="1" applyAlignment="1">
      <alignment horizontal="right" vertical="center"/>
    </xf>
    <xf numFmtId="168" fontId="6" fillId="5" borderId="56" xfId="0" applyNumberFormat="1" applyFont="1" applyFill="1" applyBorder="1" applyAlignment="1">
      <alignment horizontal="right" vertical="center"/>
    </xf>
    <xf numFmtId="168" fontId="9" fillId="7" borderId="40" xfId="0" applyNumberFormat="1" applyFont="1" applyFill="1" applyBorder="1" applyAlignment="1">
      <alignment horizontal="right" vertical="center"/>
    </xf>
    <xf numFmtId="168" fontId="9" fillId="5" borderId="40" xfId="0" applyNumberFormat="1" applyFont="1" applyFill="1" applyBorder="1" applyAlignment="1">
      <alignment horizontal="right" vertical="center"/>
    </xf>
    <xf numFmtId="168" fontId="5" fillId="7" borderId="40" xfId="0" applyNumberFormat="1" applyFont="1" applyFill="1" applyBorder="1" applyAlignment="1">
      <alignment horizontal="right" vertical="center"/>
    </xf>
    <xf numFmtId="168" fontId="6" fillId="8" borderId="57" xfId="0" applyNumberFormat="1" applyFont="1" applyFill="1" applyBorder="1" applyAlignment="1">
      <alignment horizontal="right" vertical="center"/>
    </xf>
    <xf numFmtId="168" fontId="5" fillId="5" borderId="40" xfId="0" applyNumberFormat="1" applyFont="1" applyFill="1" applyBorder="1" applyAlignment="1">
      <alignment horizontal="right" vertical="center"/>
    </xf>
    <xf numFmtId="164" fontId="21" fillId="7" borderId="40" xfId="0" applyNumberFormat="1" applyFont="1" applyFill="1" applyBorder="1" applyAlignment="1">
      <alignment horizontal="right" vertical="center"/>
    </xf>
    <xf numFmtId="169" fontId="6" fillId="5" borderId="57" xfId="0" applyNumberFormat="1" applyFont="1" applyFill="1" applyBorder="1" applyAlignment="1">
      <alignment horizontal="right" vertical="center"/>
    </xf>
    <xf numFmtId="0" fontId="33" fillId="23" borderId="0" xfId="0" applyFont="1" applyFill="1" applyAlignment="1">
      <alignment horizontal="left" vertical="center"/>
    </xf>
    <xf numFmtId="166" fontId="33" fillId="23" borderId="41" xfId="0" applyNumberFormat="1" applyFont="1" applyFill="1" applyBorder="1" applyAlignment="1">
      <alignment horizontal="right" vertical="center"/>
    </xf>
    <xf numFmtId="168" fontId="49" fillId="17" borderId="1" xfId="0" applyNumberFormat="1" applyFont="1" applyFill="1" applyBorder="1" applyAlignment="1">
      <alignment horizontal="right" vertical="center"/>
    </xf>
    <xf numFmtId="168" fontId="49" fillId="28" borderId="1" xfId="0" applyNumberFormat="1" applyFont="1" applyFill="1" applyBorder="1" applyAlignment="1">
      <alignment horizontal="right" vertical="center"/>
    </xf>
    <xf numFmtId="168" fontId="50" fillId="17" borderId="1" xfId="0" applyNumberFormat="1" applyFont="1" applyFill="1" applyBorder="1" applyAlignment="1">
      <alignment horizontal="right" vertical="center"/>
    </xf>
    <xf numFmtId="168" fontId="50" fillId="28" borderId="1" xfId="0" applyNumberFormat="1" applyFont="1" applyFill="1" applyBorder="1" applyAlignment="1">
      <alignment horizontal="right" vertical="center"/>
    </xf>
    <xf numFmtId="168" fontId="51" fillId="5" borderId="39" xfId="0" applyNumberFormat="1" applyFont="1" applyFill="1" applyBorder="1" applyAlignment="1">
      <alignment horizontal="right" vertical="center"/>
    </xf>
    <xf numFmtId="167" fontId="12" fillId="10" borderId="3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0" fillId="0" borderId="15" xfId="0" applyBorder="1"/>
    <xf numFmtId="0" fontId="0" fillId="0" borderId="17" xfId="0" applyBorder="1"/>
    <xf numFmtId="168" fontId="9" fillId="7" borderId="16" xfId="0" applyNumberFormat="1" applyFont="1" applyFill="1" applyBorder="1" applyAlignment="1">
      <alignment horizontal="right" vertical="center"/>
    </xf>
    <xf numFmtId="172" fontId="9" fillId="7" borderId="16" xfId="2" applyNumberFormat="1" applyFont="1" applyFill="1" applyBorder="1" applyAlignment="1">
      <alignment horizontal="right" vertical="center"/>
    </xf>
    <xf numFmtId="0" fontId="12" fillId="29" borderId="3" xfId="0" applyFont="1" applyFill="1" applyBorder="1"/>
    <xf numFmtId="168" fontId="9" fillId="7" borderId="15" xfId="0" applyNumberFormat="1" applyFont="1" applyFill="1" applyBorder="1" applyAlignment="1">
      <alignment horizontal="right" vertical="center"/>
    </xf>
    <xf numFmtId="3" fontId="52" fillId="31" borderId="17" xfId="0" applyNumberFormat="1" applyFont="1" applyFill="1" applyBorder="1"/>
    <xf numFmtId="176" fontId="54" fillId="31" borderId="15" xfId="0" applyNumberFormat="1" applyFont="1" applyFill="1" applyBorder="1"/>
    <xf numFmtId="176" fontId="54" fillId="31" borderId="17" xfId="0" applyNumberFormat="1" applyFont="1" applyFill="1" applyBorder="1"/>
    <xf numFmtId="0" fontId="52" fillId="31" borderId="16" xfId="0" applyFont="1" applyFill="1" applyBorder="1"/>
    <xf numFmtId="175" fontId="55" fillId="32" borderId="17" xfId="0" applyNumberFormat="1" applyFont="1" applyFill="1" applyBorder="1"/>
    <xf numFmtId="168" fontId="5" fillId="30" borderId="15" xfId="0" applyNumberFormat="1" applyFont="1" applyFill="1" applyBorder="1" applyAlignment="1">
      <alignment horizontal="right" vertical="center"/>
    </xf>
    <xf numFmtId="168" fontId="5" fillId="30" borderId="16" xfId="0" applyNumberFormat="1" applyFont="1" applyFill="1" applyBorder="1" applyAlignment="1">
      <alignment horizontal="right" vertical="center"/>
    </xf>
    <xf numFmtId="172" fontId="5" fillId="30" borderId="16" xfId="2" applyNumberFormat="1" applyFont="1" applyFill="1" applyBorder="1" applyAlignment="1">
      <alignment horizontal="right" vertical="center"/>
    </xf>
    <xf numFmtId="176" fontId="53" fillId="26" borderId="15" xfId="0" applyNumberFormat="1" applyFont="1" applyFill="1" applyBorder="1"/>
    <xf numFmtId="176" fontId="53" fillId="26" borderId="17" xfId="0" applyNumberFormat="1" applyFont="1" applyFill="1" applyBorder="1"/>
    <xf numFmtId="172" fontId="44" fillId="26" borderId="8" xfId="0" applyNumberFormat="1" applyFont="1" applyFill="1" applyBorder="1"/>
    <xf numFmtId="172" fontId="44" fillId="26" borderId="0" xfId="0" applyNumberFormat="1" applyFont="1" applyFill="1"/>
    <xf numFmtId="172" fontId="44" fillId="26" borderId="9" xfId="0" applyNumberFormat="1" applyFont="1" applyFill="1" applyBorder="1"/>
    <xf numFmtId="172" fontId="44" fillId="26" borderId="11" xfId="0" applyNumberFormat="1" applyFont="1" applyFill="1" applyBorder="1"/>
    <xf numFmtId="168" fontId="5" fillId="30" borderId="9" xfId="0" applyNumberFormat="1" applyFont="1" applyFill="1" applyBorder="1" applyAlignment="1">
      <alignment horizontal="right" vertical="center"/>
    </xf>
    <xf numFmtId="168" fontId="5" fillId="30" borderId="11" xfId="0" applyNumberFormat="1" applyFont="1" applyFill="1" applyBorder="1" applyAlignment="1">
      <alignment horizontal="right" vertical="center"/>
    </xf>
    <xf numFmtId="172" fontId="5" fillId="30" borderId="11" xfId="2" applyNumberFormat="1" applyFont="1" applyFill="1" applyBorder="1" applyAlignment="1">
      <alignment horizontal="right" vertical="center"/>
    </xf>
    <xf numFmtId="3" fontId="44" fillId="26" borderId="11" xfId="0" applyNumberFormat="1" applyFont="1" applyFill="1" applyBorder="1"/>
    <xf numFmtId="176" fontId="53" fillId="26" borderId="14" xfId="0" applyNumberFormat="1" applyFont="1" applyFill="1" applyBorder="1"/>
    <xf numFmtId="176" fontId="53" fillId="26" borderId="9" xfId="0" applyNumberFormat="1" applyFont="1" applyFill="1" applyBorder="1"/>
    <xf numFmtId="175" fontId="27" fillId="33" borderId="13" xfId="0" applyNumberFormat="1" applyFont="1" applyFill="1" applyBorder="1"/>
    <xf numFmtId="175" fontId="27" fillId="33" borderId="14" xfId="0" applyNumberFormat="1" applyFont="1" applyFill="1" applyBorder="1"/>
    <xf numFmtId="1" fontId="44" fillId="26" borderId="0" xfId="0" applyNumberFormat="1" applyFont="1" applyFill="1"/>
    <xf numFmtId="1" fontId="44" fillId="26" borderId="11" xfId="0" applyNumberFormat="1" applyFont="1" applyFill="1" applyBorder="1"/>
    <xf numFmtId="168" fontId="51" fillId="34" borderId="7" xfId="0" applyNumberFormat="1" applyFont="1" applyFill="1" applyBorder="1" applyAlignment="1">
      <alignment horizontal="right" vertical="center"/>
    </xf>
    <xf numFmtId="168" fontId="51" fillId="34" borderId="10" xfId="0" applyNumberFormat="1" applyFont="1" applyFill="1" applyBorder="1" applyAlignment="1">
      <alignment horizontal="right" vertical="center"/>
    </xf>
    <xf numFmtId="172" fontId="51" fillId="34" borderId="10" xfId="2" applyNumberFormat="1" applyFont="1" applyFill="1" applyBorder="1" applyAlignment="1">
      <alignment horizontal="right" vertical="center"/>
    </xf>
    <xf numFmtId="3" fontId="56" fillId="12" borderId="10" xfId="0" applyNumberFormat="1" applyFont="1" applyFill="1" applyBorder="1"/>
    <xf numFmtId="176" fontId="42" fillId="12" borderId="12" xfId="0" applyNumberFormat="1" applyFont="1" applyFill="1" applyBorder="1"/>
    <xf numFmtId="3" fontId="44" fillId="26" borderId="16" xfId="0" applyNumberFormat="1" applyFont="1" applyFill="1" applyBorder="1"/>
    <xf numFmtId="172" fontId="44" fillId="26" borderId="15" xfId="0" applyNumberFormat="1" applyFont="1" applyFill="1" applyBorder="1"/>
    <xf numFmtId="172" fontId="44" fillId="26" borderId="16" xfId="0" applyNumberFormat="1" applyFont="1" applyFill="1" applyBorder="1"/>
    <xf numFmtId="1" fontId="44" fillId="26" borderId="16" xfId="0" applyNumberFormat="1" applyFont="1" applyFill="1" applyBorder="1"/>
    <xf numFmtId="175" fontId="27" fillId="33" borderId="17" xfId="0" applyNumberFormat="1" applyFont="1" applyFill="1" applyBorder="1"/>
    <xf numFmtId="0" fontId="1" fillId="2" borderId="0" xfId="0" applyFont="1" applyFill="1" applyAlignment="1">
      <alignment horizontal="left" vertical="center"/>
    </xf>
    <xf numFmtId="177" fontId="27" fillId="20" borderId="37" xfId="4" applyNumberFormat="1" applyFont="1" applyFill="1" applyBorder="1" applyAlignment="1">
      <alignment horizontal="right" vertical="center"/>
    </xf>
    <xf numFmtId="164" fontId="57" fillId="35" borderId="37" xfId="0" applyNumberFormat="1" applyFont="1" applyFill="1" applyBorder="1" applyAlignment="1">
      <alignment horizontal="right" vertical="center"/>
    </xf>
    <xf numFmtId="178" fontId="57" fillId="20" borderId="37" xfId="4" applyNumberFormat="1" applyFont="1" applyFill="1" applyBorder="1" applyAlignment="1">
      <alignment horizontal="right" vertical="center"/>
    </xf>
    <xf numFmtId="178" fontId="55" fillId="20" borderId="37" xfId="4" applyNumberFormat="1" applyFont="1" applyFill="1" applyBorder="1" applyAlignment="1">
      <alignment horizontal="right" vertical="center"/>
    </xf>
    <xf numFmtId="177" fontId="55" fillId="36" borderId="37" xfId="4" applyNumberFormat="1" applyFont="1" applyFill="1" applyBorder="1" applyAlignment="1">
      <alignment horizontal="right" vertical="center"/>
    </xf>
    <xf numFmtId="177" fontId="57" fillId="36" borderId="37" xfId="4" applyNumberFormat="1" applyFont="1" applyFill="1" applyBorder="1" applyAlignment="1">
      <alignment horizontal="right" vertical="center"/>
    </xf>
    <xf numFmtId="179" fontId="42" fillId="12" borderId="3" xfId="0" applyNumberFormat="1" applyFont="1" applyFill="1" applyBorder="1"/>
    <xf numFmtId="165" fontId="33" fillId="37" borderId="0" xfId="0" applyNumberFormat="1" applyFont="1" applyFill="1" applyAlignment="1">
      <alignment horizontal="left" vertical="center"/>
    </xf>
    <xf numFmtId="0" fontId="25" fillId="17" borderId="0" xfId="0" applyFont="1" applyFill="1" applyAlignment="1">
      <alignment horizontal="left" vertical="center"/>
    </xf>
    <xf numFmtId="0" fontId="37" fillId="17" borderId="0" xfId="0" applyFont="1" applyFill="1" applyAlignment="1">
      <alignment horizontal="left" vertical="center"/>
    </xf>
    <xf numFmtId="0" fontId="38" fillId="17" borderId="0" xfId="0" applyFont="1" applyFill="1" applyAlignment="1">
      <alignment horizontal="left" vertical="center" wrapText="1"/>
    </xf>
    <xf numFmtId="0" fontId="39" fillId="14" borderId="0" xfId="0" applyFont="1" applyFill="1" applyAlignment="1">
      <alignment horizontal="left" vertical="center"/>
    </xf>
    <xf numFmtId="0" fontId="34" fillId="17" borderId="0" xfId="0" applyFont="1" applyFill="1" applyAlignment="1">
      <alignment horizontal="center" vertical="center"/>
    </xf>
    <xf numFmtId="0" fontId="35" fillId="17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3" fillId="9" borderId="4" xfId="0" applyFont="1" applyFill="1" applyBorder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13" fillId="9" borderId="6" xfId="0" applyFont="1" applyFill="1" applyBorder="1" applyAlignment="1">
      <alignment horizontal="center"/>
    </xf>
    <xf numFmtId="0" fontId="3" fillId="6" borderId="38" xfId="0" applyFont="1" applyFill="1" applyBorder="1" applyAlignment="1">
      <alignment horizontal="left" vertical="center"/>
    </xf>
    <xf numFmtId="0" fontId="3" fillId="6" borderId="39" xfId="0" applyFont="1" applyFill="1" applyBorder="1" applyAlignment="1">
      <alignment horizontal="left" vertical="center"/>
    </xf>
    <xf numFmtId="0" fontId="3" fillId="6" borderId="46" xfId="0" applyFont="1" applyFill="1" applyBorder="1" applyAlignment="1">
      <alignment horizontal="left" vertical="center"/>
    </xf>
    <xf numFmtId="0" fontId="3" fillId="24" borderId="0" xfId="0" applyFont="1" applyFill="1" applyAlignment="1">
      <alignment horizontal="left" vertical="center"/>
    </xf>
    <xf numFmtId="0" fontId="1" fillId="2" borderId="41" xfId="0" applyFont="1" applyFill="1" applyBorder="1" applyAlignment="1">
      <alignment horizontal="left" vertical="center"/>
    </xf>
    <xf numFmtId="0" fontId="2" fillId="3" borderId="41" xfId="0" applyFont="1" applyFill="1" applyBorder="1" applyAlignment="1">
      <alignment horizontal="left" vertical="center"/>
    </xf>
    <xf numFmtId="0" fontId="1" fillId="2" borderId="52" xfId="0" applyFont="1" applyFill="1" applyBorder="1" applyAlignment="1">
      <alignment horizontal="left" vertical="center"/>
    </xf>
    <xf numFmtId="0" fontId="2" fillId="3" borderId="52" xfId="0" applyFont="1" applyFill="1" applyBorder="1" applyAlignment="1">
      <alignment horizontal="left" vertical="center"/>
    </xf>
    <xf numFmtId="0" fontId="13" fillId="9" borderId="7" xfId="0" applyFont="1" applyFill="1" applyBorder="1" applyAlignment="1">
      <alignment horizontal="center"/>
    </xf>
    <xf numFmtId="0" fontId="13" fillId="9" borderId="8" xfId="0" applyFont="1" applyFill="1" applyBorder="1" applyAlignment="1">
      <alignment horizontal="center"/>
    </xf>
    <xf numFmtId="0" fontId="3" fillId="6" borderId="51" xfId="0" applyFont="1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3" fillId="6" borderId="13" xfId="0" applyFont="1" applyFill="1" applyBorder="1" applyAlignment="1">
      <alignment horizontal="left" vertical="center"/>
    </xf>
    <xf numFmtId="0" fontId="3" fillId="6" borderId="49" xfId="0" applyFont="1" applyFill="1" applyBorder="1" applyAlignment="1">
      <alignment horizontal="left" vertical="center"/>
    </xf>
    <xf numFmtId="0" fontId="3" fillId="6" borderId="50" xfId="0" applyFont="1" applyFill="1" applyBorder="1" applyAlignment="1">
      <alignment horizontal="left" vertical="center"/>
    </xf>
    <xf numFmtId="0" fontId="46" fillId="17" borderId="0" xfId="3" applyFill="1" applyAlignment="1">
      <alignment horizontal="left" vertical="center"/>
    </xf>
    <xf numFmtId="0" fontId="29" fillId="17" borderId="15" xfId="0" applyFont="1" applyFill="1" applyBorder="1" applyAlignment="1">
      <alignment horizontal="left" vertical="center"/>
    </xf>
    <xf numFmtId="0" fontId="31" fillId="17" borderId="16" xfId="0" applyFont="1" applyFill="1" applyBorder="1" applyAlignment="1">
      <alignment horizontal="left" vertical="center"/>
    </xf>
    <xf numFmtId="0" fontId="30" fillId="17" borderId="15" xfId="0" applyFont="1" applyFill="1" applyBorder="1" applyAlignment="1">
      <alignment horizontal="left" vertical="center"/>
    </xf>
    <xf numFmtId="0" fontId="30" fillId="17" borderId="16" xfId="0" applyFont="1" applyFill="1" applyBorder="1" applyAlignment="1">
      <alignment horizontal="left" vertical="center"/>
    </xf>
    <xf numFmtId="0" fontId="30" fillId="17" borderId="17" xfId="0" applyFont="1" applyFill="1" applyBorder="1" applyAlignment="1">
      <alignment horizontal="left" vertical="center"/>
    </xf>
    <xf numFmtId="0" fontId="24" fillId="14" borderId="4" xfId="0" applyFont="1" applyFill="1" applyBorder="1" applyAlignment="1">
      <alignment horizontal="left" vertical="center"/>
    </xf>
    <xf numFmtId="0" fontId="24" fillId="14" borderId="6" xfId="0" applyFont="1" applyFill="1" applyBorder="1" applyAlignment="1">
      <alignment horizontal="left" vertical="center"/>
    </xf>
    <xf numFmtId="0" fontId="32" fillId="17" borderId="17" xfId="0" applyFont="1" applyFill="1" applyBorder="1" applyAlignment="1">
      <alignment horizontal="left" vertical="center"/>
    </xf>
    <xf numFmtId="0" fontId="46" fillId="19" borderId="0" xfId="3" applyFill="1" applyAlignment="1">
      <alignment horizontal="left" vertical="center"/>
    </xf>
    <xf numFmtId="166" fontId="25" fillId="22" borderId="37" xfId="0" applyNumberFormat="1" applyFont="1" applyFill="1" applyBorder="1" applyAlignment="1">
      <alignment horizontal="right" vertical="center"/>
    </xf>
    <xf numFmtId="168" fontId="0" fillId="0" borderId="3" xfId="0" applyNumberFormat="1" applyBorder="1"/>
  </cellXfs>
  <cellStyles count="5">
    <cellStyle name="Comma" xfId="1" builtinId="3"/>
    <cellStyle name="Currency" xfId="4" builtinId="4"/>
    <cellStyle name="Hyperlink" xfId="3" builtinId="8"/>
    <cellStyle name="Normal" xfId="0" builtinId="0"/>
    <cellStyle name="Percent" xfId="2" builtinId="5"/>
  </cellStyles>
  <dxfs count="33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6" tint="0.7999816888943144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000"/>
      <color rgb="FFFFF2CC"/>
      <color rgb="FF0000FF"/>
      <color rgb="FFD6E4F7"/>
      <color rgb="FFFF6600"/>
      <color rgb="FFBDD7EE"/>
      <color rgb="FFFFFEF5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inancial_Model_Linked.xlsx" TargetMode="External"/><Relationship Id="rId1" Type="http://schemas.openxmlformats.org/officeDocument/2006/relationships/externalLinkPath" Target="/Users/User/Downloads/Financial_Model_Link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s"/>
      <sheetName val="DCF"/>
      <sheetName val="Sensitivity"/>
      <sheetName val="Scenario Analysis"/>
      <sheetName val="Stress Testing"/>
    </sheetNames>
    <sheetDataSet>
      <sheetData sheetId="0">
        <row r="5">
          <cell r="C5">
            <v>1000</v>
          </cell>
        </row>
        <row r="6">
          <cell r="C6">
            <v>0.08</v>
          </cell>
        </row>
        <row r="7">
          <cell r="C7">
            <v>7.0000000000000007E-2</v>
          </cell>
        </row>
        <row r="8">
          <cell r="C8">
            <v>0.06</v>
          </cell>
        </row>
        <row r="12">
          <cell r="C12">
            <v>0.22</v>
          </cell>
        </row>
        <row r="22">
          <cell r="C22">
            <v>0.25</v>
          </cell>
        </row>
        <row r="24">
          <cell r="C24">
            <v>200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Custom 1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8AC7-38DF-4696-B9BB-E0605277E202}">
  <sheetPr codeName="Sheet1">
    <tabColor rgb="FF1A2E4A"/>
    <pageSetUpPr fitToPage="1"/>
  </sheetPr>
  <dimension ref="A1:J37"/>
  <sheetViews>
    <sheetView showGridLines="0" tabSelected="1" zoomScaleNormal="100" workbookViewId="0">
      <selection activeCell="O18" sqref="O18"/>
    </sheetView>
  </sheetViews>
  <sheetFormatPr defaultColWidth="8.6328125" defaultRowHeight="14.5" x14ac:dyDescent="0.35"/>
  <cols>
    <col min="1" max="1" width="4" customWidth="1"/>
    <col min="2" max="2" width="20" customWidth="1"/>
    <col min="3" max="9" width="14" customWidth="1"/>
    <col min="10" max="10" width="4" customWidth="1"/>
  </cols>
  <sheetData>
    <row r="1" spans="1:10" ht="18" customHeight="1" x14ac:dyDescent="0.35">
      <c r="A1" s="169"/>
      <c r="B1" s="169"/>
      <c r="C1" s="169"/>
      <c r="D1" s="169"/>
      <c r="E1" s="169"/>
      <c r="F1" s="169"/>
      <c r="G1" s="169"/>
      <c r="H1" s="169"/>
      <c r="I1" s="169"/>
      <c r="J1" s="169"/>
    </row>
    <row r="2" spans="1:10" ht="18" customHeight="1" x14ac:dyDescent="0.35">
      <c r="A2" s="169"/>
      <c r="B2" s="169"/>
      <c r="C2" s="169"/>
      <c r="D2" s="169"/>
      <c r="E2" s="169"/>
      <c r="F2" s="169"/>
      <c r="G2" s="169"/>
      <c r="H2" s="169"/>
      <c r="I2" s="169"/>
      <c r="J2" s="169"/>
    </row>
    <row r="3" spans="1:10" ht="14" customHeight="1" x14ac:dyDescent="0.35">
      <c r="A3" s="169"/>
      <c r="B3" s="367" t="s">
        <v>511</v>
      </c>
      <c r="C3" s="367"/>
      <c r="D3" s="367"/>
      <c r="E3" s="367"/>
      <c r="F3" s="367"/>
      <c r="G3" s="367"/>
      <c r="H3" s="367"/>
      <c r="I3" s="367"/>
      <c r="J3" s="169"/>
    </row>
    <row r="4" spans="1:10" ht="14" customHeight="1" x14ac:dyDescent="0.35">
      <c r="A4" s="169"/>
      <c r="B4" s="367"/>
      <c r="C4" s="367"/>
      <c r="D4" s="367"/>
      <c r="E4" s="367"/>
      <c r="F4" s="367"/>
      <c r="G4" s="367"/>
      <c r="H4" s="367"/>
      <c r="I4" s="367"/>
      <c r="J4" s="169"/>
    </row>
    <row r="5" spans="1:10" ht="14" customHeight="1" x14ac:dyDescent="0.35">
      <c r="A5" s="169"/>
      <c r="B5" s="367"/>
      <c r="C5" s="367"/>
      <c r="D5" s="367"/>
      <c r="E5" s="367"/>
      <c r="F5" s="367"/>
      <c r="G5" s="367"/>
      <c r="H5" s="367"/>
      <c r="I5" s="367"/>
      <c r="J5" s="169"/>
    </row>
    <row r="6" spans="1:10" ht="12" customHeight="1" x14ac:dyDescent="0.35">
      <c r="A6" s="169"/>
      <c r="B6" s="368" t="s">
        <v>512</v>
      </c>
      <c r="C6" s="368"/>
      <c r="D6" s="368"/>
      <c r="E6" s="368"/>
      <c r="F6" s="368"/>
      <c r="G6" s="368"/>
      <c r="H6" s="368"/>
      <c r="I6" s="368"/>
      <c r="J6" s="169"/>
    </row>
    <row r="7" spans="1:10" ht="12" customHeight="1" x14ac:dyDescent="0.35">
      <c r="A7" s="169"/>
      <c r="B7" s="368"/>
      <c r="C7" s="368"/>
      <c r="D7" s="368"/>
      <c r="E7" s="368"/>
      <c r="F7" s="368"/>
      <c r="G7" s="368"/>
      <c r="H7" s="368"/>
      <c r="I7" s="368"/>
      <c r="J7" s="169"/>
    </row>
    <row r="8" spans="1:10" ht="3.75" customHeight="1" x14ac:dyDescent="0.35">
      <c r="A8" s="169"/>
      <c r="B8" s="170"/>
      <c r="C8" s="170"/>
      <c r="D8" s="170"/>
      <c r="E8" s="170"/>
      <c r="F8" s="170"/>
      <c r="G8" s="170"/>
      <c r="H8" s="170"/>
      <c r="I8" s="170"/>
      <c r="J8" s="169"/>
    </row>
    <row r="9" spans="1:10" ht="18" customHeight="1" x14ac:dyDescent="0.35">
      <c r="A9" s="169"/>
      <c r="B9" s="171"/>
      <c r="C9" s="171"/>
      <c r="D9" s="171"/>
      <c r="E9" s="171"/>
      <c r="F9" s="171"/>
      <c r="G9" s="171"/>
      <c r="H9" s="171"/>
      <c r="I9" s="171"/>
      <c r="J9" s="169"/>
    </row>
    <row r="10" spans="1:10" ht="19.5" customHeight="1" x14ac:dyDescent="0.35">
      <c r="A10" s="169"/>
      <c r="B10" s="172" t="s">
        <v>513</v>
      </c>
      <c r="C10" s="364" t="s">
        <v>514</v>
      </c>
      <c r="D10" s="364"/>
      <c r="E10" s="364"/>
      <c r="F10" s="364"/>
      <c r="G10" s="364"/>
      <c r="H10" s="364"/>
      <c r="I10" s="364"/>
      <c r="J10" s="169"/>
    </row>
    <row r="11" spans="1:10" ht="19.5" customHeight="1" x14ac:dyDescent="0.35">
      <c r="A11" s="169"/>
      <c r="B11" s="172" t="s">
        <v>515</v>
      </c>
      <c r="C11" s="364" t="s">
        <v>516</v>
      </c>
      <c r="D11" s="364"/>
      <c r="E11" s="364"/>
      <c r="F11" s="364"/>
      <c r="G11" s="364"/>
      <c r="H11" s="364"/>
      <c r="I11" s="364"/>
      <c r="J11" s="169"/>
    </row>
    <row r="12" spans="1:10" ht="19.5" customHeight="1" x14ac:dyDescent="0.35">
      <c r="A12" s="169"/>
      <c r="B12" s="172" t="s">
        <v>517</v>
      </c>
      <c r="C12" s="364" t="s">
        <v>518</v>
      </c>
      <c r="D12" s="364"/>
      <c r="E12" s="364"/>
      <c r="F12" s="364"/>
      <c r="G12" s="364"/>
      <c r="H12" s="364"/>
      <c r="I12" s="364"/>
      <c r="J12" s="169"/>
    </row>
    <row r="13" spans="1:10" ht="19.5" customHeight="1" x14ac:dyDescent="0.35">
      <c r="A13" s="169"/>
      <c r="B13" s="172" t="s">
        <v>519</v>
      </c>
      <c r="C13" s="364" t="s">
        <v>520</v>
      </c>
      <c r="D13" s="364"/>
      <c r="E13" s="364"/>
      <c r="F13" s="364"/>
      <c r="G13" s="364"/>
      <c r="H13" s="364"/>
      <c r="I13" s="364"/>
      <c r="J13" s="169"/>
    </row>
    <row r="14" spans="1:10" ht="19.5" customHeight="1" x14ac:dyDescent="0.35">
      <c r="A14" s="169"/>
      <c r="B14" s="172" t="s">
        <v>521</v>
      </c>
      <c r="C14" s="364" t="s">
        <v>522</v>
      </c>
      <c r="D14" s="364"/>
      <c r="E14" s="364"/>
      <c r="F14" s="364"/>
      <c r="G14" s="364"/>
      <c r="H14" s="364"/>
      <c r="I14" s="364"/>
      <c r="J14" s="169"/>
    </row>
    <row r="15" spans="1:10" ht="19.5" customHeight="1" x14ac:dyDescent="0.35">
      <c r="A15" s="169"/>
      <c r="B15" s="172" t="s">
        <v>523</v>
      </c>
      <c r="C15" s="364" t="s">
        <v>524</v>
      </c>
      <c r="D15" s="364"/>
      <c r="E15" s="364"/>
      <c r="F15" s="364"/>
      <c r="G15" s="364"/>
      <c r="H15" s="364"/>
      <c r="I15" s="364"/>
      <c r="J15" s="169"/>
    </row>
    <row r="16" spans="1:10" ht="19.5" customHeight="1" x14ac:dyDescent="0.35">
      <c r="A16" s="169"/>
      <c r="B16" s="172" t="s">
        <v>525</v>
      </c>
      <c r="C16" s="364" t="s">
        <v>526</v>
      </c>
      <c r="D16" s="364"/>
      <c r="E16" s="364"/>
      <c r="F16" s="364"/>
      <c r="G16" s="364"/>
      <c r="H16" s="364"/>
      <c r="I16" s="364"/>
      <c r="J16" s="169"/>
    </row>
    <row r="17" spans="1:10" ht="19.5" customHeight="1" x14ac:dyDescent="0.35">
      <c r="A17" s="169"/>
      <c r="B17" s="172" t="s">
        <v>527</v>
      </c>
      <c r="C17" s="364" t="s">
        <v>431</v>
      </c>
      <c r="D17" s="364"/>
      <c r="E17" s="364"/>
      <c r="F17" s="364"/>
      <c r="G17" s="364"/>
      <c r="H17" s="364"/>
      <c r="I17" s="364"/>
      <c r="J17" s="169"/>
    </row>
    <row r="18" spans="1:10" ht="19.5" customHeight="1" x14ac:dyDescent="0.35">
      <c r="A18" s="169"/>
      <c r="B18" s="172" t="s">
        <v>528</v>
      </c>
      <c r="C18" s="364" t="s">
        <v>529</v>
      </c>
      <c r="D18" s="364"/>
      <c r="E18" s="364"/>
      <c r="F18" s="364"/>
      <c r="G18" s="364"/>
      <c r="H18" s="364"/>
      <c r="I18" s="364"/>
      <c r="J18" s="169"/>
    </row>
    <row r="19" spans="1:10" ht="19.5" customHeight="1" x14ac:dyDescent="0.35">
      <c r="A19" s="169"/>
      <c r="B19" s="172" t="s">
        <v>530</v>
      </c>
      <c r="C19" s="364" t="s">
        <v>531</v>
      </c>
      <c r="D19" s="364"/>
      <c r="E19" s="364"/>
      <c r="F19" s="364"/>
      <c r="G19" s="364"/>
      <c r="H19" s="364"/>
      <c r="I19" s="364"/>
      <c r="J19" s="169"/>
    </row>
    <row r="20" spans="1:10" ht="18" customHeight="1" x14ac:dyDescent="0.35">
      <c r="A20" s="169"/>
      <c r="B20" s="365" t="s">
        <v>532</v>
      </c>
      <c r="C20" s="365"/>
      <c r="D20" s="365"/>
      <c r="E20" s="365"/>
      <c r="F20" s="365"/>
      <c r="G20" s="365"/>
      <c r="H20" s="365"/>
      <c r="I20" s="365"/>
      <c r="J20" s="169"/>
    </row>
    <row r="21" spans="1:10" ht="18" customHeight="1" x14ac:dyDescent="0.35">
      <c r="A21" s="169"/>
      <c r="B21" s="365"/>
      <c r="C21" s="365"/>
      <c r="D21" s="365"/>
      <c r="E21" s="365"/>
      <c r="F21" s="365"/>
      <c r="G21" s="365"/>
      <c r="H21" s="365"/>
      <c r="I21" s="365"/>
      <c r="J21" s="169"/>
    </row>
    <row r="22" spans="1:10" ht="18" customHeight="1" x14ac:dyDescent="0.35">
      <c r="A22" s="169"/>
      <c r="B22" s="365"/>
      <c r="C22" s="365"/>
      <c r="D22" s="365"/>
      <c r="E22" s="365"/>
      <c r="F22" s="365"/>
      <c r="G22" s="365"/>
      <c r="H22" s="365"/>
      <c r="I22" s="365"/>
      <c r="J22" s="169"/>
    </row>
    <row r="23" spans="1:10" ht="18" customHeight="1" x14ac:dyDescent="0.35">
      <c r="A23" s="169"/>
      <c r="B23" s="365"/>
      <c r="C23" s="365"/>
      <c r="D23" s="365"/>
      <c r="E23" s="365"/>
      <c r="F23" s="365"/>
      <c r="G23" s="365"/>
      <c r="H23" s="365"/>
      <c r="I23" s="365"/>
      <c r="J23" s="169"/>
    </row>
    <row r="24" spans="1:10" ht="18" customHeight="1" x14ac:dyDescent="0.35">
      <c r="A24" s="169"/>
      <c r="B24" s="169"/>
      <c r="C24" s="169"/>
      <c r="D24" s="169"/>
      <c r="E24" s="169"/>
      <c r="F24" s="169"/>
      <c r="G24" s="169"/>
      <c r="H24" s="169"/>
      <c r="I24" s="169"/>
      <c r="J24" s="169"/>
    </row>
    <row r="25" spans="1:10" ht="18" customHeight="1" x14ac:dyDescent="0.35">
      <c r="A25" s="169"/>
      <c r="B25" s="366" t="s">
        <v>533</v>
      </c>
      <c r="C25" s="366"/>
      <c r="D25" s="366"/>
      <c r="E25" s="366"/>
      <c r="F25" s="366"/>
      <c r="G25" s="366"/>
      <c r="H25" s="366"/>
      <c r="I25" s="366"/>
      <c r="J25" s="169"/>
    </row>
    <row r="26" spans="1:10" ht="18" customHeight="1" x14ac:dyDescent="0.35">
      <c r="A26" s="169"/>
      <c r="B26" s="399" t="str">
        <f>HYPERLINK("#'Assumptions &amp; Drivers'!A5","Assumptions &amp; Drivers")</f>
        <v>Assumptions &amp; Drivers</v>
      </c>
      <c r="C26" s="390" t="str">
        <f>HYPERLINK("#'Assumptions &amp; Drivers'!B65","READ ME")</f>
        <v>READ ME</v>
      </c>
      <c r="D26" s="363"/>
      <c r="E26" s="363"/>
      <c r="F26" s="363"/>
      <c r="G26" s="363"/>
      <c r="H26" s="363"/>
      <c r="I26" s="363"/>
      <c r="J26" s="169"/>
    </row>
    <row r="27" spans="1:10" ht="18" customHeight="1" x14ac:dyDescent="0.35">
      <c r="A27" s="169"/>
      <c r="B27" s="399" t="str">
        <f>HYPERLINK("#'Income Statement'!A5","Income Statement")</f>
        <v>Income Statement</v>
      </c>
      <c r="C27" s="363" t="s">
        <v>644</v>
      </c>
      <c r="D27" s="363"/>
      <c r="E27" s="363"/>
      <c r="F27" s="363"/>
      <c r="G27" s="363"/>
      <c r="H27" s="363"/>
      <c r="I27" s="363"/>
      <c r="J27" s="169"/>
    </row>
    <row r="28" spans="1:10" ht="18" customHeight="1" x14ac:dyDescent="0.35">
      <c r="A28" s="169"/>
      <c r="B28" s="399" t="str">
        <f>HYPERLINK("#'Cash Flow Statement'!A5","Cash Flow Statement")</f>
        <v>Cash Flow Statement</v>
      </c>
      <c r="C28" s="363" t="s">
        <v>645</v>
      </c>
      <c r="D28" s="363"/>
      <c r="E28" s="363"/>
      <c r="F28" s="363"/>
      <c r="G28" s="363"/>
      <c r="H28" s="363"/>
      <c r="I28" s="363"/>
      <c r="J28" s="169"/>
    </row>
    <row r="29" spans="1:10" ht="18" customHeight="1" x14ac:dyDescent="0.35">
      <c r="A29" s="169"/>
      <c r="B29" s="399" t="str">
        <f>HYPERLINK("#'Balance Sheet'!A5","Balance Sheet")</f>
        <v>Balance Sheet</v>
      </c>
      <c r="C29" s="363" t="s">
        <v>646</v>
      </c>
      <c r="D29" s="363"/>
      <c r="E29" s="363"/>
      <c r="F29" s="363"/>
      <c r="G29" s="363"/>
      <c r="H29" s="363"/>
      <c r="I29" s="363"/>
      <c r="J29" s="169"/>
    </row>
    <row r="30" spans="1:10" ht="18" customHeight="1" x14ac:dyDescent="0.35">
      <c r="A30" s="169"/>
      <c r="B30" s="399" t="str">
        <f>HYPERLINK("#'Financial Summary'!A5","Financial Summary")</f>
        <v>Financial Summary</v>
      </c>
      <c r="C30" s="363" t="s">
        <v>653</v>
      </c>
      <c r="D30" s="363"/>
      <c r="E30" s="363"/>
      <c r="F30" s="363"/>
      <c r="G30" s="363"/>
      <c r="H30" s="363"/>
      <c r="I30" s="363"/>
      <c r="J30" s="169"/>
    </row>
    <row r="31" spans="1:10" ht="18" customHeight="1" x14ac:dyDescent="0.35">
      <c r="A31" s="169"/>
      <c r="B31" s="399" t="str">
        <f>HYPERLINK("#'DCF'!A5","DCF")</f>
        <v>DCF</v>
      </c>
      <c r="C31" s="363" t="s">
        <v>651</v>
      </c>
      <c r="D31" s="363"/>
      <c r="E31" s="363"/>
      <c r="F31" s="363"/>
      <c r="G31" s="363"/>
      <c r="H31" s="363"/>
      <c r="I31" s="363"/>
      <c r="J31" s="169"/>
    </row>
    <row r="32" spans="1:10" ht="18" customHeight="1" x14ac:dyDescent="0.35">
      <c r="A32" s="169"/>
      <c r="B32" s="399" t="str">
        <f>HYPERLINK("#'Sensitivity Analysis'!A5","Sensitivity Analysis")</f>
        <v>Sensitivity Analysis</v>
      </c>
      <c r="C32" s="363" t="s">
        <v>650</v>
      </c>
      <c r="D32" s="363"/>
      <c r="E32" s="363"/>
      <c r="F32" s="363"/>
      <c r="G32" s="363"/>
      <c r="H32" s="363"/>
      <c r="I32" s="363"/>
      <c r="J32" s="169"/>
    </row>
    <row r="33" spans="1:10" ht="18" customHeight="1" x14ac:dyDescent="0.35">
      <c r="A33" s="169"/>
      <c r="B33" s="399" t="str">
        <f>HYPERLINK("#'Scenario Analysis'!A5","Scenario Analysis")</f>
        <v>Scenario Analysis</v>
      </c>
      <c r="C33" s="363" t="s">
        <v>652</v>
      </c>
      <c r="D33" s="363"/>
      <c r="E33" s="363"/>
      <c r="F33" s="363"/>
      <c r="G33" s="363"/>
      <c r="H33" s="363"/>
      <c r="I33" s="363"/>
      <c r="J33" s="169"/>
    </row>
    <row r="34" spans="1:10" x14ac:dyDescent="0.35">
      <c r="A34" s="169"/>
      <c r="B34" s="169"/>
      <c r="C34" s="169"/>
      <c r="D34" s="169"/>
      <c r="E34" s="169"/>
      <c r="F34" s="169"/>
      <c r="G34" s="169"/>
      <c r="H34" s="169"/>
      <c r="I34" s="169"/>
      <c r="J34" s="169"/>
    </row>
    <row r="35" spans="1:10" x14ac:dyDescent="0.35">
      <c r="A35" s="169"/>
      <c r="B35" s="169"/>
      <c r="C35" s="169"/>
      <c r="D35" s="169"/>
      <c r="E35" s="169"/>
      <c r="F35" s="169"/>
      <c r="G35" s="169"/>
      <c r="H35" s="169"/>
      <c r="I35" s="169"/>
      <c r="J35" s="169"/>
    </row>
    <row r="36" spans="1:10" x14ac:dyDescent="0.35">
      <c r="A36" s="169"/>
      <c r="B36" s="169"/>
      <c r="C36" s="169"/>
      <c r="D36" s="169"/>
      <c r="E36" s="169"/>
      <c r="F36" s="169"/>
      <c r="G36" s="169"/>
      <c r="H36" s="169"/>
      <c r="I36" s="169"/>
      <c r="J36" s="169"/>
    </row>
    <row r="37" spans="1:10" x14ac:dyDescent="0.35">
      <c r="A37" s="169"/>
      <c r="B37" s="169"/>
      <c r="C37" s="169"/>
      <c r="D37" s="169"/>
      <c r="E37" s="169"/>
      <c r="F37" s="169"/>
      <c r="G37" s="169"/>
      <c r="H37" s="169"/>
      <c r="I37" s="169"/>
      <c r="J37" s="169"/>
    </row>
  </sheetData>
  <mergeCells count="22">
    <mergeCell ref="C31:I31"/>
    <mergeCell ref="C32:I32"/>
    <mergeCell ref="C33:I33"/>
    <mergeCell ref="C18:I18"/>
    <mergeCell ref="B3:I5"/>
    <mergeCell ref="B6:I7"/>
    <mergeCell ref="C10:I10"/>
    <mergeCell ref="C11:I11"/>
    <mergeCell ref="C12:I12"/>
    <mergeCell ref="C13:I13"/>
    <mergeCell ref="C14:I14"/>
    <mergeCell ref="C15:I15"/>
    <mergeCell ref="C16:I16"/>
    <mergeCell ref="C17:I17"/>
    <mergeCell ref="C28:I28"/>
    <mergeCell ref="C29:I29"/>
    <mergeCell ref="C30:I30"/>
    <mergeCell ref="C19:I19"/>
    <mergeCell ref="B20:I23"/>
    <mergeCell ref="B25:I25"/>
    <mergeCell ref="C26:I26"/>
    <mergeCell ref="C27:I27"/>
  </mergeCells>
  <pageMargins left="0.5" right="0.5" top="0.75" bottom="0.7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467F-96FA-4BA5-8F03-E8FF264D4C96}">
  <sheetPr codeName="Sheet2">
    <tabColor rgb="FF002060"/>
    <pageSetUpPr fitToPage="1"/>
  </sheetPr>
  <dimension ref="B1:N68"/>
  <sheetViews>
    <sheetView showGridLines="0" zoomScaleNormal="100" workbookViewId="0">
      <pane xSplit="3" ySplit="4" topLeftCell="D5" activePane="bottomRight" state="frozen"/>
      <selection activeCell="E11" sqref="E11"/>
      <selection pane="topRight" activeCell="E11" sqref="E11"/>
      <selection pane="bottomLeft" activeCell="E11" sqref="E11"/>
      <selection pane="bottomRight" activeCell="M54" sqref="M54"/>
    </sheetView>
  </sheetViews>
  <sheetFormatPr defaultColWidth="8.6328125" defaultRowHeight="14.5" x14ac:dyDescent="0.35"/>
  <cols>
    <col min="1" max="1" width="3" customWidth="1"/>
    <col min="2" max="2" width="40" customWidth="1"/>
    <col min="3" max="3" width="44.36328125" customWidth="1"/>
    <col min="4" max="4" width="21.26953125" bestFit="1" customWidth="1"/>
    <col min="5" max="9" width="13" customWidth="1"/>
    <col min="10" max="10" width="2.7265625" hidden="1" customWidth="1"/>
    <col min="13" max="13" width="23.1796875" bestFit="1" customWidth="1"/>
    <col min="14" max="14" width="14.6328125" bestFit="1" customWidth="1"/>
  </cols>
  <sheetData>
    <row r="1" spans="2:14" ht="36" customHeight="1" x14ac:dyDescent="0.35">
      <c r="B1" s="370" t="s">
        <v>534</v>
      </c>
      <c r="C1" s="370"/>
      <c r="D1" s="370"/>
      <c r="E1" s="370"/>
      <c r="F1" s="370"/>
      <c r="G1" s="370"/>
      <c r="H1" s="370"/>
      <c r="I1" s="370"/>
      <c r="J1" s="370"/>
      <c r="K1" s="192"/>
    </row>
    <row r="2" spans="2:14" x14ac:dyDescent="0.35">
      <c r="B2" s="371" t="s">
        <v>433</v>
      </c>
      <c r="C2" s="371"/>
      <c r="D2" s="371"/>
      <c r="E2" s="371"/>
      <c r="F2" s="371"/>
      <c r="G2" s="371"/>
      <c r="H2" s="371"/>
      <c r="I2" s="371"/>
      <c r="J2" s="371"/>
    </row>
    <row r="3" spans="2:14" ht="3.75" customHeight="1" x14ac:dyDescent="0.35"/>
    <row r="4" spans="2:14" ht="21.75" customHeight="1" x14ac:dyDescent="0.35">
      <c r="B4" s="3" t="s">
        <v>434</v>
      </c>
      <c r="C4" s="3" t="s">
        <v>435</v>
      </c>
      <c r="D4" s="3" t="s">
        <v>436</v>
      </c>
      <c r="E4" s="190" t="s">
        <v>437</v>
      </c>
      <c r="F4" s="191" t="s">
        <v>438</v>
      </c>
      <c r="G4" s="191" t="s">
        <v>439</v>
      </c>
      <c r="H4" s="191" t="s">
        <v>440</v>
      </c>
      <c r="I4" s="191" t="s">
        <v>441</v>
      </c>
      <c r="J4" s="151"/>
    </row>
    <row r="5" spans="2:14" ht="3.75" customHeight="1" x14ac:dyDescent="0.35">
      <c r="B5" s="152"/>
      <c r="C5" s="152"/>
      <c r="D5" s="152"/>
      <c r="E5" s="152"/>
      <c r="F5" s="152"/>
      <c r="G5" s="152"/>
      <c r="H5" s="152"/>
      <c r="I5" s="152"/>
      <c r="J5" s="152"/>
    </row>
    <row r="6" spans="2:14" ht="18" customHeight="1" x14ac:dyDescent="0.35">
      <c r="B6" s="369" t="s">
        <v>442</v>
      </c>
      <c r="C6" s="369"/>
      <c r="D6" s="369"/>
      <c r="E6" s="369"/>
      <c r="F6" s="369"/>
      <c r="G6" s="369"/>
      <c r="H6" s="369"/>
      <c r="I6" s="369"/>
      <c r="J6" s="369"/>
      <c r="M6" s="213" t="s">
        <v>624</v>
      </c>
      <c r="N6" s="211" t="s">
        <v>223</v>
      </c>
    </row>
    <row r="7" spans="2:14" ht="16.5" customHeight="1" x14ac:dyDescent="0.35">
      <c r="B7" s="153" t="s">
        <v>443</v>
      </c>
      <c r="C7" s="154" t="s">
        <v>444</v>
      </c>
      <c r="D7" s="193">
        <f>'Income Statement'!G7/'Income Statement'!F7-1</f>
        <v>4.1161069774066972E-2</v>
      </c>
      <c r="E7" s="156">
        <v>4.1161069774066972E-2</v>
      </c>
      <c r="F7" s="156">
        <v>4.1161069774066972E-2</v>
      </c>
      <c r="G7" s="156">
        <v>4.1161069774066972E-2</v>
      </c>
      <c r="H7" s="156">
        <v>4.1161069774066972E-2</v>
      </c>
      <c r="I7" s="156">
        <v>4.1161069774066972E-2</v>
      </c>
      <c r="M7" s="214" t="str">
        <f>HYPERLINK("#D44","Theoretical WACC?")</f>
        <v>Theoretical WACC?</v>
      </c>
      <c r="N7" s="143" t="b">
        <f>_xlfn.ISFORMULA(D45)</f>
        <v>1</v>
      </c>
    </row>
    <row r="8" spans="2:14" ht="16.5" customHeight="1" x14ac:dyDescent="0.35">
      <c r="B8" s="157" t="s">
        <v>445</v>
      </c>
      <c r="C8" s="158" t="s">
        <v>446</v>
      </c>
      <c r="D8" s="193">
        <f>'Income Statement'!G8/'Income Statement'!F8-1</f>
        <v>0.13506431386413498</v>
      </c>
      <c r="E8" s="159">
        <v>0.13506431386413498</v>
      </c>
      <c r="F8" s="159">
        <v>0.13506431386413498</v>
      </c>
      <c r="G8" s="159">
        <v>0.13506431386413498</v>
      </c>
      <c r="H8" s="159">
        <v>0.13506431386413498</v>
      </c>
      <c r="I8" s="159">
        <v>0.13506431386413498</v>
      </c>
      <c r="M8" s="215" t="str">
        <f>HYPERLINK("#E7","Normal Revenue Growth?")</f>
        <v>Normal Revenue Growth?</v>
      </c>
      <c r="N8" s="143" t="b">
        <f>AND(ABS(E7-D7)/D7&lt;0.1,ABS(E8-D8)/D8&lt;0.1)</f>
        <v>1</v>
      </c>
    </row>
    <row r="9" spans="2:14" ht="3.75" customHeight="1" x14ac:dyDescent="0.35">
      <c r="B9" s="152"/>
      <c r="C9" s="152"/>
      <c r="D9" s="152"/>
      <c r="E9" s="152"/>
      <c r="F9" s="152"/>
      <c r="G9" s="152"/>
      <c r="H9" s="152"/>
      <c r="I9" s="152"/>
      <c r="J9" s="152"/>
      <c r="M9" s="216"/>
    </row>
    <row r="10" spans="2:14" ht="18" customHeight="1" x14ac:dyDescent="0.35">
      <c r="B10" s="369" t="s">
        <v>447</v>
      </c>
      <c r="C10" s="369"/>
      <c r="D10" s="369"/>
      <c r="E10" s="369"/>
      <c r="F10" s="369"/>
      <c r="G10" s="369"/>
      <c r="H10" s="369"/>
      <c r="I10" s="369"/>
      <c r="J10" s="369"/>
      <c r="M10" s="217" t="str">
        <f>HYPERLINK("#D52","Normal Terminal Growth?")</f>
        <v>Normal Terminal Growth?</v>
      </c>
      <c r="N10" s="212">
        <f>D53</f>
        <v>2.5000000000000001E-2</v>
      </c>
    </row>
    <row r="11" spans="2:14" ht="16.5" customHeight="1" x14ac:dyDescent="0.35">
      <c r="B11" s="153" t="s">
        <v>448</v>
      </c>
      <c r="C11" s="154" t="s">
        <v>449</v>
      </c>
      <c r="D11" s="160">
        <f>('Income Statement'!G7-'Income Statement'!G14)/'Income Statement'!G7</f>
        <v>0.36770650449669873</v>
      </c>
      <c r="E11" s="156">
        <v>0.36699999999999999</v>
      </c>
      <c r="F11" s="156">
        <v>0.372</v>
      </c>
      <c r="G11" s="156">
        <v>0.377</v>
      </c>
      <c r="H11" s="156">
        <v>0.37</v>
      </c>
      <c r="I11" s="156">
        <v>0.37</v>
      </c>
      <c r="M11" s="217" t="str">
        <f>HYPERLINK("#D53","Normal Exit Multiple?")</f>
        <v>Normal Exit Multiple?</v>
      </c>
      <c r="N11" s="218">
        <f>D54</f>
        <v>15</v>
      </c>
    </row>
    <row r="12" spans="2:14" ht="16.5" customHeight="1" x14ac:dyDescent="0.35">
      <c r="B12" s="157" t="s">
        <v>450</v>
      </c>
      <c r="C12" s="158" t="s">
        <v>451</v>
      </c>
      <c r="D12" s="160">
        <f>('Income Statement'!G8-'Income Statement'!G15)/'Income Statement'!G8</f>
        <v>0.75408124003737698</v>
      </c>
      <c r="E12" s="159">
        <v>0.75700000000000001</v>
      </c>
      <c r="F12" s="159">
        <v>0.76200000000000001</v>
      </c>
      <c r="G12" s="159">
        <v>0.76700000000000002</v>
      </c>
      <c r="H12" s="159">
        <v>0.75</v>
      </c>
      <c r="I12" s="159">
        <v>0.75</v>
      </c>
    </row>
    <row r="13" spans="2:14" ht="16.5" customHeight="1" x14ac:dyDescent="0.35">
      <c r="B13" s="153" t="s">
        <v>452</v>
      </c>
      <c r="C13" s="154" t="s">
        <v>453</v>
      </c>
      <c r="D13" s="160">
        <f>'Income Statement'!G25/'Income Statement'!G10</f>
        <v>8.3020753987038676E-2</v>
      </c>
      <c r="E13" s="156">
        <v>8.4000000000000005E-2</v>
      </c>
      <c r="F13" s="156">
        <v>8.3000000000000004E-2</v>
      </c>
      <c r="G13" s="156">
        <v>8.2000000000000003E-2</v>
      </c>
      <c r="H13" s="156">
        <v>8.1000000000000003E-2</v>
      </c>
      <c r="I13" s="156">
        <v>0.08</v>
      </c>
    </row>
    <row r="14" spans="2:14" ht="16.5" customHeight="1" x14ac:dyDescent="0.35">
      <c r="B14" s="157" t="s">
        <v>454</v>
      </c>
      <c r="C14" s="158" t="s">
        <v>455</v>
      </c>
      <c r="D14" s="160">
        <f>'Income Statement'!G28/'Income Statement'!G10</f>
        <v>6.6322889458647019E-2</v>
      </c>
      <c r="E14" s="159">
        <v>6.5000000000000002E-2</v>
      </c>
      <c r="F14" s="159">
        <v>6.4000000000000001E-2</v>
      </c>
      <c r="G14" s="159">
        <v>6.3E-2</v>
      </c>
      <c r="H14" s="159">
        <v>6.2E-2</v>
      </c>
      <c r="I14" s="159">
        <v>6.0999999999999999E-2</v>
      </c>
    </row>
    <row r="15" spans="2:14" ht="3.75" customHeight="1" x14ac:dyDescent="0.35">
      <c r="B15" s="152"/>
      <c r="C15" s="152"/>
      <c r="D15" s="152"/>
      <c r="E15" s="152"/>
      <c r="F15" s="152"/>
      <c r="G15" s="152"/>
      <c r="H15" s="152"/>
      <c r="I15" s="152"/>
      <c r="J15" s="152"/>
    </row>
    <row r="16" spans="2:14" ht="18" customHeight="1" x14ac:dyDescent="0.35">
      <c r="B16" s="369" t="s">
        <v>456</v>
      </c>
      <c r="C16" s="369"/>
      <c r="D16" s="369"/>
      <c r="E16" s="369"/>
      <c r="F16" s="369"/>
      <c r="G16" s="369"/>
      <c r="H16" s="369"/>
      <c r="I16" s="369"/>
      <c r="J16" s="369"/>
    </row>
    <row r="17" spans="2:10" ht="16.5" customHeight="1" x14ac:dyDescent="0.35">
      <c r="B17" s="153" t="s">
        <v>457</v>
      </c>
      <c r="C17" s="154" t="s">
        <v>458</v>
      </c>
      <c r="D17" s="160">
        <f>'Cash Flow Statement'!G9/'Income Statement'!G10</f>
        <v>2.8109313462818475E-2</v>
      </c>
      <c r="E17" s="156">
        <v>2.8000000000000001E-2</v>
      </c>
      <c r="F17" s="156">
        <v>2.8000000000000001E-2</v>
      </c>
      <c r="G17" s="156">
        <v>2.7E-2</v>
      </c>
      <c r="H17" s="156">
        <v>2.7E-2</v>
      </c>
      <c r="I17" s="156">
        <v>2.7E-2</v>
      </c>
    </row>
    <row r="18" spans="2:10" ht="16.5" customHeight="1" x14ac:dyDescent="0.35">
      <c r="B18" s="157" t="s">
        <v>459</v>
      </c>
      <c r="C18" s="158" t="s">
        <v>460</v>
      </c>
      <c r="D18" s="160">
        <f>-'Cash Flow Statement'!G25/'Income Statement'!G10</f>
        <v>3.0553079216937677E-2</v>
      </c>
      <c r="E18" s="159">
        <v>3.1E-2</v>
      </c>
      <c r="F18" s="159">
        <v>0.03</v>
      </c>
      <c r="G18" s="159">
        <v>2.9000000000000001E-2</v>
      </c>
      <c r="H18" s="159">
        <v>2.9000000000000001E-2</v>
      </c>
      <c r="I18" s="159">
        <v>2.8000000000000001E-2</v>
      </c>
    </row>
    <row r="19" spans="2:10" ht="16.5" customHeight="1" x14ac:dyDescent="0.35">
      <c r="B19" s="153" t="s">
        <v>627</v>
      </c>
      <c r="C19" s="154" t="s">
        <v>628</v>
      </c>
      <c r="D19" s="160">
        <f>'Cash Flow Statement'!G10/'Income Statement'!G10</f>
        <v>3.0908710811440764E-2</v>
      </c>
      <c r="E19" s="156">
        <v>3.1E-2</v>
      </c>
      <c r="F19" s="156">
        <v>3.1E-2</v>
      </c>
      <c r="G19" s="156">
        <v>0.03</v>
      </c>
      <c r="H19" s="156">
        <v>0.03</v>
      </c>
      <c r="I19" s="156">
        <v>2.9000000000000001E-2</v>
      </c>
    </row>
    <row r="20" spans="2:10" ht="3.75" customHeight="1" x14ac:dyDescent="0.35">
      <c r="B20" s="152"/>
      <c r="C20" s="152"/>
      <c r="D20" s="152"/>
      <c r="E20" s="152"/>
      <c r="F20" s="152"/>
      <c r="G20" s="152"/>
      <c r="H20" s="152"/>
      <c r="I20" s="152"/>
      <c r="J20" s="152"/>
    </row>
    <row r="21" spans="2:10" ht="18" customHeight="1" x14ac:dyDescent="0.35">
      <c r="B21" s="369" t="s">
        <v>461</v>
      </c>
      <c r="C21" s="369"/>
      <c r="D21" s="369"/>
      <c r="E21" s="369"/>
      <c r="F21" s="369"/>
      <c r="G21" s="369"/>
      <c r="H21" s="369"/>
      <c r="I21" s="369"/>
      <c r="J21" s="369"/>
    </row>
    <row r="22" spans="2:10" ht="16.5" customHeight="1" x14ac:dyDescent="0.35">
      <c r="B22" s="153" t="s">
        <v>462</v>
      </c>
      <c r="C22" s="154" t="s">
        <v>463</v>
      </c>
      <c r="D22" s="161">
        <f>'Balance Sheet'!G10/'Income Statement'!G10*365</f>
        <v>34.886990852098108</v>
      </c>
      <c r="E22" s="162"/>
      <c r="F22" s="162"/>
      <c r="G22" s="162"/>
      <c r="H22" s="162"/>
      <c r="I22" s="162"/>
    </row>
    <row r="23" spans="2:10" ht="16.5" customHeight="1" x14ac:dyDescent="0.35">
      <c r="B23" s="157" t="s">
        <v>464</v>
      </c>
      <c r="C23" s="158" t="s">
        <v>465</v>
      </c>
      <c r="D23" s="161">
        <f>'Balance Sheet'!G12/'Income Statement'!G18*365</f>
        <v>9.4454652425778427</v>
      </c>
      <c r="E23" s="163"/>
      <c r="F23" s="163"/>
      <c r="G23" s="163"/>
      <c r="H23" s="163"/>
      <c r="I23" s="163"/>
    </row>
    <row r="24" spans="2:10" ht="16.5" customHeight="1" x14ac:dyDescent="0.35">
      <c r="B24" s="153" t="s">
        <v>466</v>
      </c>
      <c r="C24" s="154" t="s">
        <v>467</v>
      </c>
      <c r="D24" s="161">
        <f>'Balance Sheet'!G31/'Income Statement'!G18*365</f>
        <v>115.40052498189718</v>
      </c>
      <c r="E24" s="162"/>
      <c r="F24" s="162"/>
      <c r="G24" s="162"/>
      <c r="H24" s="162"/>
      <c r="I24" s="162"/>
    </row>
    <row r="25" spans="2:10" ht="3.75" customHeight="1" x14ac:dyDescent="0.35">
      <c r="B25" s="152"/>
      <c r="C25" s="152"/>
      <c r="D25" s="152"/>
      <c r="E25" s="152"/>
      <c r="F25" s="152"/>
      <c r="G25" s="152"/>
      <c r="H25" s="152"/>
      <c r="I25" s="152"/>
      <c r="J25" s="152"/>
    </row>
    <row r="26" spans="2:10" ht="18" customHeight="1" x14ac:dyDescent="0.35">
      <c r="B26" s="369" t="s">
        <v>468</v>
      </c>
      <c r="C26" s="369"/>
      <c r="D26" s="369"/>
      <c r="E26" s="369"/>
      <c r="F26" s="369"/>
      <c r="G26" s="369"/>
      <c r="H26" s="369"/>
      <c r="I26" s="369"/>
      <c r="J26" s="369"/>
    </row>
    <row r="27" spans="2:10" ht="16.5" customHeight="1" x14ac:dyDescent="0.35">
      <c r="B27" s="153" t="s">
        <v>469</v>
      </c>
      <c r="C27" s="154" t="s">
        <v>470</v>
      </c>
      <c r="D27" s="160">
        <f>'Income Statement'!G47/'Income Statement'!G44</f>
        <v>0.15610002335586043</v>
      </c>
      <c r="E27" s="156">
        <v>0.21</v>
      </c>
      <c r="F27" s="156">
        <v>0.21</v>
      </c>
      <c r="G27" s="156">
        <v>0.21</v>
      </c>
      <c r="H27" s="156">
        <v>0.21</v>
      </c>
      <c r="I27" s="156">
        <v>0.21</v>
      </c>
    </row>
    <row r="28" spans="2:10" ht="16.5" customHeight="1" x14ac:dyDescent="0.35">
      <c r="B28" s="157" t="s">
        <v>471</v>
      </c>
      <c r="C28" s="158" t="s">
        <v>472</v>
      </c>
      <c r="D28" s="155"/>
      <c r="E28" s="159">
        <v>4.2000000000000003E-2</v>
      </c>
      <c r="F28" s="159">
        <v>0.04</v>
      </c>
      <c r="G28" s="159">
        <v>3.7999999999999999E-2</v>
      </c>
      <c r="H28" s="159">
        <v>3.6999999999999998E-2</v>
      </c>
      <c r="I28" s="159">
        <v>3.5999999999999997E-2</v>
      </c>
    </row>
    <row r="29" spans="2:10" ht="16.5" customHeight="1" x14ac:dyDescent="0.35">
      <c r="B29" s="153" t="s">
        <v>473</v>
      </c>
      <c r="C29" s="154" t="s">
        <v>474</v>
      </c>
      <c r="D29" s="155"/>
      <c r="E29" s="156">
        <v>0.03</v>
      </c>
      <c r="F29" s="156">
        <v>2.9000000000000001E-2</v>
      </c>
      <c r="G29" s="156">
        <v>2.8000000000000001E-2</v>
      </c>
      <c r="H29" s="156">
        <v>2.8000000000000001E-2</v>
      </c>
      <c r="I29" s="156">
        <v>2.7E-2</v>
      </c>
    </row>
    <row r="30" spans="2:10" ht="3.75" customHeight="1" x14ac:dyDescent="0.35">
      <c r="B30" s="152"/>
      <c r="C30" s="152"/>
      <c r="D30" s="152"/>
      <c r="E30" s="152"/>
      <c r="F30" s="152"/>
      <c r="G30" s="152"/>
      <c r="H30" s="152"/>
      <c r="I30" s="152"/>
      <c r="J30" s="152"/>
    </row>
    <row r="31" spans="2:10" ht="18" customHeight="1" x14ac:dyDescent="0.35">
      <c r="B31" s="369" t="s">
        <v>475</v>
      </c>
      <c r="C31" s="369"/>
      <c r="D31" s="369"/>
      <c r="E31" s="369"/>
      <c r="F31" s="369"/>
      <c r="G31" s="369"/>
      <c r="H31" s="369"/>
      <c r="I31" s="369"/>
      <c r="J31" s="369"/>
    </row>
    <row r="32" spans="2:10" ht="16.5" customHeight="1" x14ac:dyDescent="0.35">
      <c r="B32" s="153" t="s">
        <v>476</v>
      </c>
      <c r="C32" s="154" t="s">
        <v>477</v>
      </c>
      <c r="D32" s="155"/>
      <c r="E32" s="164">
        <v>90000</v>
      </c>
      <c r="F32" s="164">
        <v>85000</v>
      </c>
      <c r="G32" s="164">
        <v>80000</v>
      </c>
      <c r="H32" s="164">
        <v>75000</v>
      </c>
      <c r="I32" s="164">
        <v>70000</v>
      </c>
    </row>
    <row r="33" spans="2:14" ht="16.5" customHeight="1" x14ac:dyDescent="0.35">
      <c r="B33" s="157" t="s">
        <v>478</v>
      </c>
      <c r="C33" s="158" t="s">
        <v>479</v>
      </c>
      <c r="D33" s="165">
        <v>1.0277448454973801</v>
      </c>
      <c r="E33" s="166">
        <f>MID($C$33,2,1)/100+D33</f>
        <v>1.0777448454973801</v>
      </c>
      <c r="F33" s="166">
        <f t="shared" ref="F33:I33" si="0">MID($C$33,2,1)/100+E33</f>
        <v>1.1277448454973802</v>
      </c>
      <c r="G33" s="166">
        <f t="shared" si="0"/>
        <v>1.1777448454973802</v>
      </c>
      <c r="H33" s="166">
        <f t="shared" si="0"/>
        <v>1.2277448454973803</v>
      </c>
      <c r="I33" s="166">
        <f t="shared" si="0"/>
        <v>1.2777448454973803</v>
      </c>
    </row>
    <row r="34" spans="2:14" ht="3.75" customHeight="1" x14ac:dyDescent="0.35">
      <c r="B34" s="152"/>
      <c r="C34" s="152"/>
      <c r="D34" s="152"/>
      <c r="E34" s="152"/>
      <c r="F34" s="152"/>
      <c r="G34" s="152"/>
      <c r="H34" s="152"/>
      <c r="I34" s="152"/>
      <c r="J34" s="152"/>
    </row>
    <row r="35" spans="2:14" ht="18" customHeight="1" x14ac:dyDescent="0.35">
      <c r="B35" s="369" t="s">
        <v>480</v>
      </c>
      <c r="C35" s="369"/>
      <c r="D35" s="369"/>
      <c r="E35" s="369"/>
      <c r="F35" s="369"/>
      <c r="G35" s="369"/>
      <c r="H35" s="369"/>
      <c r="I35" s="369"/>
      <c r="J35" s="369"/>
    </row>
    <row r="36" spans="2:14" ht="16.5" customHeight="1" x14ac:dyDescent="0.35">
      <c r="B36" s="157" t="s">
        <v>481</v>
      </c>
      <c r="C36" s="158" t="s">
        <v>482</v>
      </c>
      <c r="D36" s="159">
        <v>4.2999999999999997E-2</v>
      </c>
      <c r="E36" s="155"/>
      <c r="F36" s="155"/>
      <c r="G36" s="155"/>
      <c r="H36" s="155"/>
      <c r="I36" s="155"/>
    </row>
    <row r="37" spans="2:14" ht="16.5" customHeight="1" x14ac:dyDescent="0.35">
      <c r="B37" s="153" t="s">
        <v>483</v>
      </c>
      <c r="C37" s="154" t="s">
        <v>484</v>
      </c>
      <c r="D37" s="156">
        <v>4.8000000000000001E-2</v>
      </c>
      <c r="E37" s="155"/>
      <c r="F37" s="155"/>
      <c r="G37" s="155"/>
      <c r="H37" s="155"/>
      <c r="I37" s="155"/>
    </row>
    <row r="38" spans="2:14" ht="16.5" customHeight="1" x14ac:dyDescent="0.35">
      <c r="B38" s="157" t="s">
        <v>485</v>
      </c>
      <c r="C38" s="158" t="s">
        <v>486</v>
      </c>
      <c r="D38" s="166">
        <v>1.25</v>
      </c>
      <c r="E38" s="155"/>
      <c r="F38" s="155"/>
      <c r="G38" s="155"/>
      <c r="H38" s="155"/>
      <c r="I38" s="155"/>
    </row>
    <row r="39" spans="2:14" ht="16.5" customHeight="1" x14ac:dyDescent="0.35">
      <c r="B39" s="153" t="s">
        <v>487</v>
      </c>
      <c r="C39" s="154" t="s">
        <v>488</v>
      </c>
      <c r="D39" s="400">
        <f>D36+D38*D37</f>
        <v>0.10299999999999999</v>
      </c>
      <c r="E39" s="155" t="s">
        <v>621</v>
      </c>
      <c r="F39" s="155"/>
      <c r="G39" s="155"/>
      <c r="H39" s="155"/>
      <c r="I39" s="155"/>
    </row>
    <row r="40" spans="2:14" ht="16.5" customHeight="1" x14ac:dyDescent="0.35">
      <c r="B40" s="157" t="s">
        <v>489</v>
      </c>
      <c r="C40" s="158" t="s">
        <v>490</v>
      </c>
      <c r="D40" s="159">
        <v>0.03</v>
      </c>
      <c r="E40" s="155"/>
      <c r="F40" s="155"/>
      <c r="G40" s="155"/>
      <c r="H40" s="155"/>
      <c r="I40" s="155"/>
    </row>
    <row r="41" spans="2:14" ht="16.5" customHeight="1" x14ac:dyDescent="0.35">
      <c r="B41" s="153" t="s">
        <v>491</v>
      </c>
      <c r="C41" s="154" t="s">
        <v>492</v>
      </c>
      <c r="D41" s="156">
        <v>0.21</v>
      </c>
      <c r="E41" s="155"/>
      <c r="F41" s="155"/>
      <c r="G41" s="155"/>
      <c r="H41" s="155"/>
      <c r="I41" s="155"/>
    </row>
    <row r="42" spans="2:14" ht="16.5" customHeight="1" x14ac:dyDescent="0.35">
      <c r="B42" s="157" t="s">
        <v>493</v>
      </c>
      <c r="C42" s="158" t="s">
        <v>494</v>
      </c>
      <c r="D42" s="400">
        <f>D40*(1-D41)</f>
        <v>2.3699999999999999E-2</v>
      </c>
      <c r="E42" s="155" t="s">
        <v>622</v>
      </c>
      <c r="F42" s="155"/>
      <c r="G42" s="155"/>
      <c r="H42" s="155"/>
      <c r="I42" s="155"/>
    </row>
    <row r="43" spans="2:14" ht="16.5" customHeight="1" x14ac:dyDescent="0.35">
      <c r="B43" s="153" t="s">
        <v>495</v>
      </c>
      <c r="C43" s="154" t="s">
        <v>496</v>
      </c>
      <c r="D43" s="156">
        <v>0.94</v>
      </c>
      <c r="E43" s="155"/>
      <c r="F43" s="155"/>
      <c r="G43" s="155"/>
      <c r="H43" s="155"/>
      <c r="I43" s="155"/>
    </row>
    <row r="44" spans="2:14" ht="16.5" customHeight="1" x14ac:dyDescent="0.35">
      <c r="B44" s="157" t="s">
        <v>497</v>
      </c>
      <c r="C44" s="158" t="s">
        <v>498</v>
      </c>
      <c r="D44" s="159">
        <v>0.06</v>
      </c>
      <c r="E44" s="155"/>
      <c r="F44" s="155"/>
      <c r="G44" s="155"/>
      <c r="H44" s="155"/>
      <c r="I44" s="155"/>
    </row>
    <row r="45" spans="2:14" ht="16.5" customHeight="1" x14ac:dyDescent="0.35">
      <c r="B45" s="153" t="s">
        <v>499</v>
      </c>
      <c r="C45" s="154" t="s">
        <v>500</v>
      </c>
      <c r="D45" s="400">
        <f>D39*D43+D42*D44</f>
        <v>9.8241999999999996E-2</v>
      </c>
      <c r="E45" s="155" t="s">
        <v>623</v>
      </c>
      <c r="F45" s="155"/>
      <c r="G45" s="155"/>
      <c r="H45" s="155"/>
      <c r="I45" s="155"/>
      <c r="N45" s="258"/>
    </row>
    <row r="46" spans="2:14" ht="3.75" customHeight="1" x14ac:dyDescent="0.35">
      <c r="B46" s="152"/>
      <c r="C46" s="152"/>
      <c r="D46" s="152"/>
      <c r="E46" s="152"/>
      <c r="F46" s="152"/>
      <c r="G46" s="152"/>
      <c r="H46" s="152"/>
      <c r="I46" s="152"/>
      <c r="J46" s="152"/>
    </row>
    <row r="47" spans="2:14" ht="18" customHeight="1" x14ac:dyDescent="0.35">
      <c r="B47" s="369" t="s">
        <v>536</v>
      </c>
      <c r="C47" s="369"/>
      <c r="D47" s="369"/>
      <c r="E47" s="369"/>
      <c r="F47" s="369"/>
      <c r="G47" s="369"/>
      <c r="H47" s="369"/>
      <c r="I47" s="369"/>
      <c r="J47" s="369"/>
    </row>
    <row r="48" spans="2:14" ht="16.5" customHeight="1" x14ac:dyDescent="0.35">
      <c r="B48" s="153" t="s">
        <v>537</v>
      </c>
      <c r="C48" s="154" t="s">
        <v>501</v>
      </c>
      <c r="D48" s="167">
        <f>'Income Statement'!G53</f>
        <v>15004697000</v>
      </c>
      <c r="E48" s="164"/>
      <c r="F48" s="164"/>
      <c r="G48" s="164"/>
      <c r="H48" s="164"/>
      <c r="I48" s="164"/>
    </row>
    <row r="49" spans="2:10" ht="16.5" customHeight="1" x14ac:dyDescent="0.35">
      <c r="B49" s="157" t="s">
        <v>538</v>
      </c>
      <c r="C49" s="158" t="s">
        <v>502</v>
      </c>
      <c r="D49" s="155"/>
      <c r="E49" s="195">
        <v>550000000</v>
      </c>
      <c r="F49" s="195">
        <v>500000000</v>
      </c>
      <c r="G49" s="195">
        <v>460000000</v>
      </c>
      <c r="H49" s="195">
        <v>420000000</v>
      </c>
      <c r="I49" s="195">
        <v>390000000</v>
      </c>
    </row>
    <row r="50" spans="2:10" ht="16.5" customHeight="1" x14ac:dyDescent="0.35">
      <c r="B50" s="153" t="s">
        <v>539</v>
      </c>
      <c r="C50" s="154" t="s">
        <v>503</v>
      </c>
      <c r="D50" s="155"/>
      <c r="E50" s="195">
        <v>100000000</v>
      </c>
      <c r="F50" s="195">
        <v>95000000</v>
      </c>
      <c r="G50" s="195">
        <v>90000000</v>
      </c>
      <c r="H50" s="195">
        <v>85000000</v>
      </c>
      <c r="I50" s="195">
        <v>80000000</v>
      </c>
    </row>
    <row r="51" spans="2:10" ht="3.75" customHeight="1" x14ac:dyDescent="0.35">
      <c r="B51" s="152"/>
      <c r="C51" s="152"/>
      <c r="D51" s="152"/>
      <c r="E51" s="152"/>
      <c r="F51" s="152"/>
      <c r="G51" s="152"/>
      <c r="H51" s="152"/>
      <c r="I51" s="152"/>
      <c r="J51" s="152"/>
    </row>
    <row r="52" spans="2:10" ht="18" customHeight="1" x14ac:dyDescent="0.35">
      <c r="B52" s="369" t="s">
        <v>620</v>
      </c>
      <c r="C52" s="369"/>
      <c r="D52" s="369"/>
      <c r="E52" s="369"/>
      <c r="F52" s="369"/>
      <c r="G52" s="369"/>
      <c r="H52" s="369"/>
      <c r="I52" s="369"/>
      <c r="J52" s="369"/>
    </row>
    <row r="53" spans="2:10" ht="15.75" customHeight="1" x14ac:dyDescent="0.35">
      <c r="B53" s="157" t="s">
        <v>616</v>
      </c>
      <c r="C53" s="158" t="s">
        <v>617</v>
      </c>
      <c r="D53" s="159">
        <v>2.5000000000000001E-2</v>
      </c>
    </row>
    <row r="54" spans="2:10" ht="15.75" customHeight="1" x14ac:dyDescent="0.35">
      <c r="B54" s="153" t="s">
        <v>618</v>
      </c>
      <c r="C54" s="154" t="s">
        <v>619</v>
      </c>
      <c r="D54" s="203">
        <v>15</v>
      </c>
    </row>
    <row r="55" spans="2:10" ht="15.75" customHeight="1" x14ac:dyDescent="0.35"/>
    <row r="56" spans="2:10" ht="15.75" customHeight="1" x14ac:dyDescent="0.35">
      <c r="B56" s="369" t="s">
        <v>640</v>
      </c>
      <c r="C56" s="369"/>
      <c r="D56" s="369"/>
      <c r="E56" s="369"/>
      <c r="F56" s="369"/>
      <c r="G56" s="369"/>
      <c r="H56" s="369"/>
      <c r="I56" s="369"/>
      <c r="J56" s="369"/>
    </row>
    <row r="57" spans="2:10" ht="15.75" customHeight="1" x14ac:dyDescent="0.35">
      <c r="B57" s="157" t="s">
        <v>635</v>
      </c>
      <c r="C57" s="158"/>
      <c r="D57" s="355">
        <v>250</v>
      </c>
    </row>
    <row r="58" spans="2:10" ht="15.75" customHeight="1" x14ac:dyDescent="0.35">
      <c r="B58" s="153" t="s">
        <v>633</v>
      </c>
      <c r="C58" s="154"/>
      <c r="D58" s="356">
        <f>D48</f>
        <v>15004697000</v>
      </c>
    </row>
    <row r="59" spans="2:10" ht="15.75" customHeight="1" x14ac:dyDescent="0.35">
      <c r="B59" s="157" t="s">
        <v>636</v>
      </c>
      <c r="C59" s="158"/>
      <c r="D59" s="357">
        <f>D57*D58</f>
        <v>3751174250000</v>
      </c>
    </row>
    <row r="60" spans="2:10" ht="15.75" customHeight="1" x14ac:dyDescent="0.35">
      <c r="B60" s="153" t="s">
        <v>637</v>
      </c>
      <c r="C60" s="154"/>
      <c r="D60" s="359">
        <f>'Balance Sheet'!G8</f>
        <v>35934000000</v>
      </c>
    </row>
    <row r="61" spans="2:10" ht="15.75" customHeight="1" x14ac:dyDescent="0.35">
      <c r="B61" s="157" t="s">
        <v>638</v>
      </c>
      <c r="C61" s="158"/>
      <c r="D61" s="358">
        <f>'Balance Sheet'!G39</f>
        <v>78328000000</v>
      </c>
    </row>
    <row r="62" spans="2:10" ht="15.75" customHeight="1" x14ac:dyDescent="0.35">
      <c r="B62" s="153" t="s">
        <v>639</v>
      </c>
      <c r="C62" s="154"/>
      <c r="D62" s="360">
        <f>D59+D61-D60</f>
        <v>3793568250000</v>
      </c>
    </row>
    <row r="63" spans="2:10" ht="15.75" customHeight="1" x14ac:dyDescent="0.35"/>
    <row r="64" spans="2:10" ht="15.75" customHeight="1" x14ac:dyDescent="0.35"/>
    <row r="65" spans="2:3" ht="15.75" customHeight="1" x14ac:dyDescent="0.35">
      <c r="B65" s="396" t="s">
        <v>504</v>
      </c>
      <c r="C65" s="397"/>
    </row>
    <row r="66" spans="2:3" ht="15.75" customHeight="1" x14ac:dyDescent="0.35">
      <c r="B66" s="391" t="s">
        <v>170</v>
      </c>
      <c r="C66" s="393" t="s">
        <v>643</v>
      </c>
    </row>
    <row r="67" spans="2:3" x14ac:dyDescent="0.35">
      <c r="B67" s="392" t="s">
        <v>172</v>
      </c>
      <c r="C67" s="394" t="s">
        <v>505</v>
      </c>
    </row>
    <row r="68" spans="2:3" x14ac:dyDescent="0.35">
      <c r="B68" s="398" t="s">
        <v>171</v>
      </c>
      <c r="C68" s="395" t="s">
        <v>506</v>
      </c>
    </row>
  </sheetData>
  <mergeCells count="15">
    <mergeCell ref="B65:C65"/>
    <mergeCell ref="B56:J56"/>
    <mergeCell ref="B1:G1"/>
    <mergeCell ref="H1:J1"/>
    <mergeCell ref="B2:G2"/>
    <mergeCell ref="H2:J2"/>
    <mergeCell ref="B52:J52"/>
    <mergeCell ref="B26:J26"/>
    <mergeCell ref="B31:J31"/>
    <mergeCell ref="B35:J35"/>
    <mergeCell ref="B47:J47"/>
    <mergeCell ref="B6:J6"/>
    <mergeCell ref="B10:J10"/>
    <mergeCell ref="B16:J16"/>
    <mergeCell ref="B21:J21"/>
  </mergeCells>
  <conditionalFormatting sqref="N7:N8">
    <cfRule type="cellIs" dxfId="32" priority="1" operator="equal">
      <formula>TRUE</formula>
    </cfRule>
    <cfRule type="cellIs" dxfId="31" priority="2" operator="equal">
      <formula>FALSE</formula>
    </cfRule>
  </conditionalFormatting>
  <pageMargins left="0.5" right="0.5" top="0.75" bottom="0.75" header="0.5" footer="0.5"/>
  <pageSetup paperSize="9" fitToHeight="0" orientation="landscape" horizontalDpi="300" verticalDpi="300"/>
  <headerFooter>
    <oddHeader>&amp;C&amp;"Arial,Bold"&amp;10APPLE INC. — Assumptions Drivers&amp;R&amp;"Arial,Regular"&amp;8CONFIDENTIAL</oddHeader>
    <oddFooter>&amp;L&amp;"Arial,Regular"&amp;8Model v1.0  |  14 March 2026&amp;R&amp;"Arial,Regular"&amp;8Page &amp;P of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81A1-F86A-42DB-99A3-257CD2C5B444}">
  <sheetPr codeName="Sheet5">
    <tabColor rgb="FF0066FF"/>
  </sheetPr>
  <dimension ref="A1:P51"/>
  <sheetViews>
    <sheetView zoomScaleNormal="100" workbookViewId="0">
      <pane ySplit="2" topLeftCell="A3" activePane="bottomLeft" state="frozen"/>
      <selection sqref="A1:G1"/>
      <selection pane="bottomLeft" activeCell="H26" sqref="H26"/>
    </sheetView>
  </sheetViews>
  <sheetFormatPr defaultRowHeight="14.5" x14ac:dyDescent="0.35"/>
  <cols>
    <col min="1" max="1" width="73" bestFit="1" customWidth="1"/>
    <col min="2" max="7" width="14.08984375" bestFit="1" customWidth="1"/>
    <col min="9" max="9" width="73" bestFit="1" customWidth="1"/>
    <col min="10" max="14" width="14.08984375" bestFit="1" customWidth="1"/>
    <col min="15" max="15" width="14.08984375" hidden="1" customWidth="1"/>
  </cols>
  <sheetData>
    <row r="1" spans="1:16" x14ac:dyDescent="0.35">
      <c r="A1" s="372" t="s">
        <v>221</v>
      </c>
      <c r="B1" s="373"/>
      <c r="C1" s="373"/>
      <c r="D1" s="373"/>
      <c r="E1" s="373"/>
      <c r="F1" s="373"/>
      <c r="G1" s="374"/>
      <c r="I1" s="372" t="s">
        <v>222</v>
      </c>
      <c r="J1" s="373"/>
      <c r="K1" s="373"/>
      <c r="L1" s="373"/>
      <c r="M1" s="373"/>
      <c r="N1" s="373"/>
      <c r="O1" s="374"/>
    </row>
    <row r="2" spans="1:16" x14ac:dyDescent="0.35">
      <c r="A2" s="35" t="s">
        <v>175</v>
      </c>
      <c r="B2" s="31" t="s">
        <v>176</v>
      </c>
      <c r="C2" s="31" t="s">
        <v>177</v>
      </c>
      <c r="D2" s="31" t="s">
        <v>178</v>
      </c>
      <c r="E2" s="31" t="s">
        <v>179</v>
      </c>
      <c r="F2" s="31" t="s">
        <v>180</v>
      </c>
      <c r="G2" s="32" t="s">
        <v>181</v>
      </c>
      <c r="I2" s="35" t="str">
        <f>A2</f>
        <v>AAPL_income-statement_Annual_As_Originally_Reported</v>
      </c>
      <c r="J2" s="46" t="str">
        <f t="shared" ref="J2:J3" si="0">B2</f>
        <v>2021</v>
      </c>
      <c r="K2" s="31" t="str">
        <f t="shared" ref="K2:K3" si="1">C2</f>
        <v>2022</v>
      </c>
      <c r="L2" s="31" t="str">
        <f t="shared" ref="L2:L3" si="2">D2</f>
        <v>2023</v>
      </c>
      <c r="M2" s="31" t="str">
        <f t="shared" ref="M2:M3" si="3">E2</f>
        <v>2024</v>
      </c>
      <c r="N2" s="32" t="str">
        <f t="shared" ref="N2:N3" si="4">F2</f>
        <v>2025</v>
      </c>
      <c r="O2" s="32" t="str">
        <f t="shared" ref="O2:O3" si="5">G2</f>
        <v>TTM</v>
      </c>
    </row>
    <row r="3" spans="1:16" x14ac:dyDescent="0.35">
      <c r="A3" s="36" t="s">
        <v>182</v>
      </c>
      <c r="B3" s="21">
        <v>152836000000</v>
      </c>
      <c r="C3" s="21">
        <v>170782000000</v>
      </c>
      <c r="D3" s="21">
        <v>169148000000</v>
      </c>
      <c r="E3" s="21">
        <v>180683000000</v>
      </c>
      <c r="F3" s="21">
        <v>195201000000</v>
      </c>
      <c r="G3" s="22">
        <v>206157000000</v>
      </c>
      <c r="I3" s="36" t="str">
        <f t="shared" ref="I3" si="6">A3</f>
        <v>Gross Profit</v>
      </c>
      <c r="J3" s="56">
        <f t="shared" si="0"/>
        <v>152836000000</v>
      </c>
      <c r="K3" s="57">
        <f t="shared" si="1"/>
        <v>170782000000</v>
      </c>
      <c r="L3" s="57">
        <f t="shared" si="2"/>
        <v>169148000000</v>
      </c>
      <c r="M3" s="57">
        <f t="shared" si="3"/>
        <v>180683000000</v>
      </c>
      <c r="N3" s="58">
        <f t="shared" si="4"/>
        <v>195201000000</v>
      </c>
      <c r="O3" s="22">
        <f t="shared" si="5"/>
        <v>206157000000</v>
      </c>
    </row>
    <row r="4" spans="1:16" x14ac:dyDescent="0.35">
      <c r="A4" s="37" t="s">
        <v>183</v>
      </c>
      <c r="B4" s="20">
        <v>365817000000</v>
      </c>
      <c r="C4" s="20">
        <v>394328000000</v>
      </c>
      <c r="D4" s="20">
        <v>383285000000</v>
      </c>
      <c r="E4" s="20">
        <v>391035000000</v>
      </c>
      <c r="F4" s="20">
        <v>416161000000</v>
      </c>
      <c r="G4" s="24">
        <v>435617000000</v>
      </c>
      <c r="I4" s="51" t="str">
        <f t="shared" ref="I4:O4" si="7">A4</f>
        <v xml:space="preserve">    Total Revenue</v>
      </c>
      <c r="J4" s="115">
        <f t="shared" si="7"/>
        <v>365817000000</v>
      </c>
      <c r="K4" s="116">
        <f t="shared" si="7"/>
        <v>394328000000</v>
      </c>
      <c r="L4" s="116">
        <f t="shared" si="7"/>
        <v>383285000000</v>
      </c>
      <c r="M4" s="116">
        <f t="shared" si="7"/>
        <v>391035000000</v>
      </c>
      <c r="N4" s="117">
        <f t="shared" si="7"/>
        <v>416161000000</v>
      </c>
      <c r="O4" s="24">
        <f t="shared" si="7"/>
        <v>435617000000</v>
      </c>
    </row>
    <row r="5" spans="1:16" x14ac:dyDescent="0.35">
      <c r="A5" s="37" t="s">
        <v>226</v>
      </c>
      <c r="B5" s="20">
        <v>365817000000</v>
      </c>
      <c r="C5" s="20">
        <v>394328000000</v>
      </c>
      <c r="D5" s="20">
        <v>383285000000</v>
      </c>
      <c r="E5" s="20">
        <v>391035000000</v>
      </c>
      <c r="F5" s="20">
        <v>416161000000</v>
      </c>
      <c r="G5" s="24">
        <v>435617000000</v>
      </c>
      <c r="I5" s="53" t="s">
        <v>228</v>
      </c>
      <c r="J5" s="59">
        <v>297392000000</v>
      </c>
      <c r="K5" s="60">
        <v>316199000000</v>
      </c>
      <c r="L5" s="60">
        <v>298085000000</v>
      </c>
      <c r="M5" s="60">
        <v>294866000000</v>
      </c>
      <c r="N5" s="61">
        <v>307003000000</v>
      </c>
      <c r="O5" s="41"/>
    </row>
    <row r="6" spans="1:16" x14ac:dyDescent="0.35">
      <c r="A6" s="37" t="s">
        <v>227</v>
      </c>
      <c r="B6" s="20">
        <v>-212981000000</v>
      </c>
      <c r="C6" s="20">
        <v>-223546000000</v>
      </c>
      <c r="D6" s="20">
        <v>-214137000000</v>
      </c>
      <c r="E6" s="20">
        <v>-210352000000</v>
      </c>
      <c r="F6" s="20">
        <v>-220960000000</v>
      </c>
      <c r="G6" s="24">
        <v>-229460000000</v>
      </c>
      <c r="I6" s="53" t="s">
        <v>229</v>
      </c>
      <c r="J6" s="59">
        <v>68425000000</v>
      </c>
      <c r="K6" s="60">
        <v>78129000000</v>
      </c>
      <c r="L6" s="60">
        <v>85200000000</v>
      </c>
      <c r="M6" s="60">
        <v>96169000000</v>
      </c>
      <c r="N6" s="61">
        <v>109158000000</v>
      </c>
      <c r="O6" s="41"/>
    </row>
    <row r="7" spans="1:16" x14ac:dyDescent="0.35">
      <c r="A7" s="38" t="s">
        <v>184</v>
      </c>
      <c r="B7" s="29">
        <v>-212981000000</v>
      </c>
      <c r="C7" s="29">
        <v>-223546000000</v>
      </c>
      <c r="D7" s="29">
        <v>-214137000000</v>
      </c>
      <c r="E7" s="29">
        <v>-210352000000</v>
      </c>
      <c r="F7" s="29">
        <v>-220960000000</v>
      </c>
      <c r="G7" s="30">
        <v>-229460000000</v>
      </c>
      <c r="I7" s="88" t="s">
        <v>289</v>
      </c>
      <c r="J7" s="145" t="b">
        <f>ABS(SUM(J5:J6))=ABS(J4)</f>
        <v>1</v>
      </c>
      <c r="K7" s="146" t="b">
        <f>ABS(SUM(K5:K6))=ABS(K4)</f>
        <v>1</v>
      </c>
      <c r="L7" s="146" t="b">
        <f>ABS(SUM(L5:L6))=ABS(L4)</f>
        <v>1</v>
      </c>
      <c r="M7" s="146" t="b">
        <f>ABS(SUM(M5:M6))=ABS(M4)</f>
        <v>1</v>
      </c>
      <c r="N7" s="147" t="b">
        <f>ABS(SUM(N5:N6))=ABS(N4)</f>
        <v>1</v>
      </c>
      <c r="O7" s="143"/>
      <c r="P7" s="144" t="b">
        <f>AND(J7:O7)</f>
        <v>1</v>
      </c>
    </row>
    <row r="8" spans="1:16" x14ac:dyDescent="0.35">
      <c r="A8" s="36" t="s">
        <v>185</v>
      </c>
      <c r="B8" s="21">
        <v>-43887000000</v>
      </c>
      <c r="C8" s="21">
        <v>-51345000000</v>
      </c>
      <c r="D8" s="21">
        <v>-54847000000</v>
      </c>
      <c r="E8" s="21">
        <v>-57467000000</v>
      </c>
      <c r="F8" s="21">
        <v>-62151000000</v>
      </c>
      <c r="G8" s="22">
        <v>-65087000000</v>
      </c>
      <c r="I8" s="50" t="str">
        <f t="shared" ref="I8:O9" si="8">A5</f>
        <v xml:space="preserve">    Business Revenue</v>
      </c>
      <c r="J8" s="62">
        <f t="shared" si="8"/>
        <v>365817000000</v>
      </c>
      <c r="K8" s="63">
        <f t="shared" si="8"/>
        <v>394328000000</v>
      </c>
      <c r="L8" s="63">
        <f t="shared" si="8"/>
        <v>383285000000</v>
      </c>
      <c r="M8" s="63">
        <f t="shared" si="8"/>
        <v>391035000000</v>
      </c>
      <c r="N8" s="64">
        <f t="shared" si="8"/>
        <v>416161000000</v>
      </c>
      <c r="O8" s="24">
        <f t="shared" si="8"/>
        <v>435617000000</v>
      </c>
    </row>
    <row r="9" spans="1:16" x14ac:dyDescent="0.35">
      <c r="A9" s="37" t="s">
        <v>186</v>
      </c>
      <c r="B9" s="20">
        <v>-21973000000</v>
      </c>
      <c r="C9" s="20">
        <v>-25094000000</v>
      </c>
      <c r="D9" s="20">
        <v>-24932000000</v>
      </c>
      <c r="E9" s="20">
        <v>-26097000000</v>
      </c>
      <c r="F9" s="20">
        <v>-27601000000</v>
      </c>
      <c r="G9" s="24">
        <v>-27918000000</v>
      </c>
      <c r="I9" s="37" t="str">
        <f t="shared" si="8"/>
        <v>Cost of Revenue</v>
      </c>
      <c r="J9" s="62">
        <f t="shared" si="8"/>
        <v>-212981000000</v>
      </c>
      <c r="K9" s="63">
        <f t="shared" si="8"/>
        <v>-223546000000</v>
      </c>
      <c r="L9" s="63">
        <f t="shared" si="8"/>
        <v>-214137000000</v>
      </c>
      <c r="M9" s="63">
        <f t="shared" si="8"/>
        <v>-210352000000</v>
      </c>
      <c r="N9" s="64">
        <f t="shared" si="8"/>
        <v>-220960000000</v>
      </c>
      <c r="O9" s="24">
        <f t="shared" si="8"/>
        <v>-229460000000</v>
      </c>
    </row>
    <row r="10" spans="1:16" x14ac:dyDescent="0.35">
      <c r="A10" s="38" t="s">
        <v>187</v>
      </c>
      <c r="B10" s="29">
        <v>-21914000000</v>
      </c>
      <c r="C10" s="29">
        <v>-26251000000</v>
      </c>
      <c r="D10" s="29">
        <v>-29915000000</v>
      </c>
      <c r="E10" s="29">
        <v>-31370000000</v>
      </c>
      <c r="F10" s="29">
        <v>-34550000000</v>
      </c>
      <c r="G10" s="30">
        <v>-37169000000</v>
      </c>
      <c r="I10" s="38" t="str">
        <f t="shared" ref="I10:N10" si="9">A7</f>
        <v xml:space="preserve">        Cost of Goods and Services</v>
      </c>
      <c r="J10" s="65">
        <f t="shared" si="9"/>
        <v>-212981000000</v>
      </c>
      <c r="K10" s="66">
        <f t="shared" si="9"/>
        <v>-223546000000</v>
      </c>
      <c r="L10" s="66">
        <f t="shared" si="9"/>
        <v>-214137000000</v>
      </c>
      <c r="M10" s="66">
        <f t="shared" si="9"/>
        <v>-210352000000</v>
      </c>
      <c r="N10" s="67">
        <f t="shared" si="9"/>
        <v>-220960000000</v>
      </c>
    </row>
    <row r="11" spans="1:16" x14ac:dyDescent="0.35">
      <c r="A11" s="37" t="s">
        <v>188</v>
      </c>
      <c r="B11" s="20">
        <v>108949000000</v>
      </c>
      <c r="C11" s="20">
        <v>119437000000</v>
      </c>
      <c r="D11" s="20">
        <v>114301000000</v>
      </c>
      <c r="E11" s="20">
        <v>123216000000</v>
      </c>
      <c r="F11" s="20">
        <v>133050000000</v>
      </c>
      <c r="G11" s="24">
        <v>141070000000</v>
      </c>
      <c r="I11" s="53" t="s">
        <v>224</v>
      </c>
      <c r="J11" s="59">
        <v>192266000000</v>
      </c>
      <c r="K11" s="60">
        <v>201471000000</v>
      </c>
      <c r="L11" s="60">
        <v>189282000000</v>
      </c>
      <c r="M11" s="60">
        <v>185233000000</v>
      </c>
      <c r="N11" s="61">
        <v>194116000000</v>
      </c>
      <c r="O11" s="41"/>
    </row>
    <row r="12" spans="1:16" x14ac:dyDescent="0.35">
      <c r="A12" s="36" t="s">
        <v>189</v>
      </c>
      <c r="B12" s="21">
        <v>258000000</v>
      </c>
      <c r="C12" s="21">
        <v>-334000000</v>
      </c>
      <c r="D12" s="21">
        <v>-565000000</v>
      </c>
      <c r="E12" s="21">
        <v>269000000</v>
      </c>
      <c r="F12" s="21">
        <v>-321000000</v>
      </c>
      <c r="G12" s="22">
        <v>77000000</v>
      </c>
      <c r="I12" s="53" t="s">
        <v>225</v>
      </c>
      <c r="J12" s="59">
        <v>20715000000</v>
      </c>
      <c r="K12" s="60">
        <v>22075000000</v>
      </c>
      <c r="L12" s="60">
        <v>24855000000</v>
      </c>
      <c r="M12" s="60">
        <v>25119000000</v>
      </c>
      <c r="N12" s="61">
        <v>26844000000</v>
      </c>
      <c r="O12" s="41"/>
    </row>
    <row r="13" spans="1:16" x14ac:dyDescent="0.35">
      <c r="A13" s="37" t="s">
        <v>190</v>
      </c>
      <c r="B13" s="20">
        <v>60000000</v>
      </c>
      <c r="C13" s="20">
        <v>-228000000</v>
      </c>
      <c r="D13" s="20">
        <v>-382000000</v>
      </c>
      <c r="E13" s="20">
        <v>269000000</v>
      </c>
      <c r="F13" s="20">
        <v>-321000000</v>
      </c>
      <c r="G13" s="24">
        <v>77000000</v>
      </c>
      <c r="I13" s="88" t="s">
        <v>289</v>
      </c>
      <c r="J13" s="145" t="b">
        <f>ABS(SUM(J11:J12))=ABS(J10)</f>
        <v>1</v>
      </c>
      <c r="K13" s="146" t="b">
        <f>ABS(SUM(K11:K12))=ABS(K10)</f>
        <v>1</v>
      </c>
      <c r="L13" s="146" t="b">
        <f>ABS(SUM(L11:L12))=ABS(L10)</f>
        <v>1</v>
      </c>
      <c r="M13" s="146" t="b">
        <f>ABS(SUM(M11:M12))=ABS(M10)</f>
        <v>1</v>
      </c>
      <c r="N13" s="147" t="b">
        <f>ABS(SUM(N11:N12))=ABS(N10)</f>
        <v>1</v>
      </c>
      <c r="O13" s="143"/>
      <c r="P13" s="144" t="b">
        <f>AND(J13:O13)</f>
        <v>1</v>
      </c>
    </row>
    <row r="14" spans="1:16" x14ac:dyDescent="0.35">
      <c r="A14" s="37" t="s">
        <v>191</v>
      </c>
      <c r="B14" s="20">
        <v>198000000</v>
      </c>
      <c r="C14" s="20">
        <v>-106000000</v>
      </c>
      <c r="D14" s="20">
        <v>-183000000</v>
      </c>
      <c r="E14" t="s">
        <v>192</v>
      </c>
      <c r="F14" t="s">
        <v>192</v>
      </c>
      <c r="G14" s="25" t="s">
        <v>192</v>
      </c>
      <c r="I14" s="36" t="str">
        <f t="shared" ref="I14:I51" si="10">A8</f>
        <v>Operating Income/Expenses</v>
      </c>
      <c r="J14" s="56">
        <f t="shared" ref="J14:J51" si="11">B8</f>
        <v>-43887000000</v>
      </c>
      <c r="K14" s="57">
        <f t="shared" ref="K14:K51" si="12">C8</f>
        <v>-51345000000</v>
      </c>
      <c r="L14" s="57">
        <f t="shared" ref="L14:L51" si="13">D8</f>
        <v>-54847000000</v>
      </c>
      <c r="M14" s="57">
        <f t="shared" ref="M14:M51" si="14">E8</f>
        <v>-57467000000</v>
      </c>
      <c r="N14" s="58">
        <f t="shared" ref="N14:N51" si="15">F8</f>
        <v>-62151000000</v>
      </c>
      <c r="O14" s="22">
        <f t="shared" ref="O14:O51" si="16">G8</f>
        <v>-65087000000</v>
      </c>
    </row>
    <row r="15" spans="1:16" x14ac:dyDescent="0.35">
      <c r="A15" s="37" t="s">
        <v>193</v>
      </c>
      <c r="B15" s="20">
        <v>198000000</v>
      </c>
      <c r="C15" s="20">
        <v>-106000000</v>
      </c>
      <c r="D15" s="20">
        <v>-183000000</v>
      </c>
      <c r="E15" t="s">
        <v>192</v>
      </c>
      <c r="F15" t="s">
        <v>192</v>
      </c>
      <c r="G15" s="25" t="s">
        <v>192</v>
      </c>
      <c r="I15" s="45" t="str">
        <f t="shared" si="10"/>
        <v xml:space="preserve">    Selling, General and Administrative Expenses</v>
      </c>
      <c r="J15" s="68">
        <f t="shared" si="11"/>
        <v>-21973000000</v>
      </c>
      <c r="K15" s="69">
        <f t="shared" si="12"/>
        <v>-25094000000</v>
      </c>
      <c r="L15" s="69">
        <f t="shared" si="13"/>
        <v>-24932000000</v>
      </c>
      <c r="M15" s="69">
        <f t="shared" si="14"/>
        <v>-26097000000</v>
      </c>
      <c r="N15" s="70">
        <f t="shared" si="15"/>
        <v>-27601000000</v>
      </c>
      <c r="O15" s="24">
        <f t="shared" si="16"/>
        <v>-27918000000</v>
      </c>
    </row>
    <row r="16" spans="1:16" x14ac:dyDescent="0.35">
      <c r="A16" s="37" t="s">
        <v>194</v>
      </c>
      <c r="B16" s="20">
        <v>-2645000000</v>
      </c>
      <c r="C16" s="20">
        <v>-2931000000</v>
      </c>
      <c r="D16" s="20">
        <v>-3933000000</v>
      </c>
      <c r="E16" t="s">
        <v>192</v>
      </c>
      <c r="F16" t="s">
        <v>192</v>
      </c>
      <c r="G16" s="25" t="s">
        <v>192</v>
      </c>
      <c r="I16" s="52" t="str">
        <f t="shared" si="10"/>
        <v xml:space="preserve">    Research and Development Expenses</v>
      </c>
      <c r="J16" s="71">
        <f t="shared" si="11"/>
        <v>-21914000000</v>
      </c>
      <c r="K16" s="72">
        <f t="shared" si="12"/>
        <v>-26251000000</v>
      </c>
      <c r="L16" s="72">
        <f t="shared" si="13"/>
        <v>-29915000000</v>
      </c>
      <c r="M16" s="72">
        <f t="shared" si="14"/>
        <v>-31370000000</v>
      </c>
      <c r="N16" s="73">
        <f t="shared" si="15"/>
        <v>-34550000000</v>
      </c>
      <c r="O16" s="30">
        <f t="shared" si="16"/>
        <v>-37169000000</v>
      </c>
    </row>
    <row r="17" spans="1:15" x14ac:dyDescent="0.35">
      <c r="A17" s="38" t="s">
        <v>195</v>
      </c>
      <c r="B17" s="29">
        <v>2843000000</v>
      </c>
      <c r="C17" s="29">
        <v>2825000000</v>
      </c>
      <c r="D17" s="29">
        <v>3750000000</v>
      </c>
      <c r="E17" s="27" t="s">
        <v>192</v>
      </c>
      <c r="F17" s="27" t="s">
        <v>192</v>
      </c>
      <c r="G17" s="28" t="s">
        <v>192</v>
      </c>
      <c r="I17" s="118" t="str">
        <f t="shared" si="10"/>
        <v>Total Operating Profit/Loss</v>
      </c>
      <c r="J17" s="62">
        <f t="shared" si="11"/>
        <v>108949000000</v>
      </c>
      <c r="K17" s="63">
        <f t="shared" si="12"/>
        <v>119437000000</v>
      </c>
      <c r="L17" s="63">
        <f t="shared" si="13"/>
        <v>114301000000</v>
      </c>
      <c r="M17" s="63">
        <f t="shared" si="14"/>
        <v>123216000000</v>
      </c>
      <c r="N17" s="64">
        <f t="shared" si="15"/>
        <v>133050000000</v>
      </c>
      <c r="O17" s="24">
        <f t="shared" si="16"/>
        <v>141070000000</v>
      </c>
    </row>
    <row r="18" spans="1:15" x14ac:dyDescent="0.35">
      <c r="A18" s="37" t="s">
        <v>196</v>
      </c>
      <c r="B18" s="20">
        <v>109207000000</v>
      </c>
      <c r="C18" s="20">
        <v>119103000000</v>
      </c>
      <c r="D18" s="20">
        <v>113736000000</v>
      </c>
      <c r="E18" s="20">
        <v>123485000000</v>
      </c>
      <c r="F18" s="20">
        <v>132729000000</v>
      </c>
      <c r="G18" s="24">
        <v>141147000000</v>
      </c>
      <c r="I18" s="36" t="str">
        <f t="shared" si="10"/>
        <v>Non-Operating Income/Expense, Total</v>
      </c>
      <c r="J18" s="56">
        <f t="shared" si="11"/>
        <v>258000000</v>
      </c>
      <c r="K18" s="57">
        <f t="shared" si="12"/>
        <v>-334000000</v>
      </c>
      <c r="L18" s="57">
        <f t="shared" si="13"/>
        <v>-565000000</v>
      </c>
      <c r="M18" s="57">
        <f t="shared" si="14"/>
        <v>269000000</v>
      </c>
      <c r="N18" s="58">
        <f t="shared" si="15"/>
        <v>-321000000</v>
      </c>
      <c r="O18" s="22">
        <f t="shared" si="16"/>
        <v>77000000</v>
      </c>
    </row>
    <row r="19" spans="1:15" x14ac:dyDescent="0.35">
      <c r="A19" s="37" t="s">
        <v>197</v>
      </c>
      <c r="B19" s="20">
        <v>-14527000000</v>
      </c>
      <c r="C19" s="20">
        <v>-19300000000</v>
      </c>
      <c r="D19" s="20">
        <v>-16741000000</v>
      </c>
      <c r="E19" s="20">
        <v>-29749000000</v>
      </c>
      <c r="F19" s="20">
        <v>-20719000000</v>
      </c>
      <c r="G19" s="24">
        <v>-23370000000</v>
      </c>
      <c r="I19" s="45" t="str">
        <f t="shared" si="10"/>
        <v xml:space="preserve">    Other Income/Expense, Non-Operating</v>
      </c>
      <c r="J19" s="68">
        <f t="shared" si="11"/>
        <v>60000000</v>
      </c>
      <c r="K19" s="69">
        <f t="shared" si="12"/>
        <v>-228000000</v>
      </c>
      <c r="L19" s="69">
        <f t="shared" si="13"/>
        <v>-382000000</v>
      </c>
      <c r="M19" s="69">
        <f t="shared" si="14"/>
        <v>269000000</v>
      </c>
      <c r="N19" s="70">
        <f t="shared" si="15"/>
        <v>-321000000</v>
      </c>
      <c r="O19" s="24">
        <f t="shared" si="16"/>
        <v>77000000</v>
      </c>
    </row>
    <row r="20" spans="1:15" x14ac:dyDescent="0.35">
      <c r="A20" s="37" t="s">
        <v>198</v>
      </c>
      <c r="B20" s="20">
        <v>94680000000</v>
      </c>
      <c r="C20" s="20">
        <v>99803000000</v>
      </c>
      <c r="D20" s="20">
        <v>96995000000</v>
      </c>
      <c r="E20" s="20">
        <v>93736000000</v>
      </c>
      <c r="F20" s="20">
        <v>112010000000</v>
      </c>
      <c r="G20" s="24">
        <v>117777000000</v>
      </c>
      <c r="I20" s="37" t="str">
        <f t="shared" si="10"/>
        <v xml:space="preserve">    Total Net Finance Income/Expense</v>
      </c>
      <c r="J20" s="62">
        <f t="shared" si="11"/>
        <v>198000000</v>
      </c>
      <c r="K20" s="63">
        <f t="shared" si="12"/>
        <v>-106000000</v>
      </c>
      <c r="L20" s="63">
        <f t="shared" si="13"/>
        <v>-183000000</v>
      </c>
      <c r="M20" s="74" t="str">
        <f t="shared" si="14"/>
        <v/>
      </c>
      <c r="N20" s="75" t="str">
        <f t="shared" si="15"/>
        <v/>
      </c>
      <c r="O20" s="25" t="str">
        <f t="shared" si="16"/>
        <v/>
      </c>
    </row>
    <row r="21" spans="1:15" x14ac:dyDescent="0.35">
      <c r="A21" s="37" t="s">
        <v>199</v>
      </c>
      <c r="B21" s="20">
        <v>94680000000</v>
      </c>
      <c r="C21" s="20">
        <v>99803000000</v>
      </c>
      <c r="D21" s="20">
        <v>96995000000</v>
      </c>
      <c r="E21" s="20">
        <v>93736000000</v>
      </c>
      <c r="F21" s="20">
        <v>112010000000</v>
      </c>
      <c r="G21" s="24">
        <v>117777000000</v>
      </c>
      <c r="I21" s="37" t="str">
        <f t="shared" si="10"/>
        <v xml:space="preserve">        Net Interest Income/Expense</v>
      </c>
      <c r="J21" s="62">
        <f t="shared" si="11"/>
        <v>198000000</v>
      </c>
      <c r="K21" s="63">
        <f t="shared" si="12"/>
        <v>-106000000</v>
      </c>
      <c r="L21" s="63">
        <f t="shared" si="13"/>
        <v>-183000000</v>
      </c>
      <c r="M21" s="74" t="str">
        <f t="shared" si="14"/>
        <v/>
      </c>
      <c r="N21" s="75" t="str">
        <f t="shared" si="15"/>
        <v/>
      </c>
      <c r="O21" s="25" t="str">
        <f t="shared" si="16"/>
        <v/>
      </c>
    </row>
    <row r="22" spans="1:15" x14ac:dyDescent="0.35">
      <c r="A22" s="37" t="s">
        <v>200</v>
      </c>
      <c r="B22" s="20">
        <v>94680000000</v>
      </c>
      <c r="C22" s="20">
        <v>99803000000</v>
      </c>
      <c r="D22" s="20">
        <v>96995000000</v>
      </c>
      <c r="E22" s="20">
        <v>93736000000</v>
      </c>
      <c r="F22" s="20">
        <v>112010000000</v>
      </c>
      <c r="G22" s="24">
        <v>117777000000</v>
      </c>
      <c r="I22" s="45" t="str">
        <f t="shared" si="10"/>
        <v xml:space="preserve">            Interest Expense Net of Capitalized Interest</v>
      </c>
      <c r="J22" s="68">
        <f t="shared" si="11"/>
        <v>-2645000000</v>
      </c>
      <c r="K22" s="69">
        <f t="shared" si="12"/>
        <v>-2931000000</v>
      </c>
      <c r="L22" s="69">
        <f t="shared" si="13"/>
        <v>-3933000000</v>
      </c>
      <c r="M22" s="76" t="str">
        <f t="shared" si="14"/>
        <v/>
      </c>
      <c r="N22" s="77" t="str">
        <f t="shared" si="15"/>
        <v/>
      </c>
      <c r="O22" s="25" t="str">
        <f t="shared" si="16"/>
        <v/>
      </c>
    </row>
    <row r="23" spans="1:15" x14ac:dyDescent="0.35">
      <c r="A23" s="37" t="s">
        <v>201</v>
      </c>
      <c r="B23" s="20">
        <v>94680000000</v>
      </c>
      <c r="C23" s="20">
        <v>99803000000</v>
      </c>
      <c r="D23" s="20">
        <v>96995000000</v>
      </c>
      <c r="E23" s="20">
        <v>93736000000</v>
      </c>
      <c r="F23" s="20">
        <v>112010000000</v>
      </c>
      <c r="G23" s="24">
        <v>117777000000</v>
      </c>
      <c r="I23" s="52" t="str">
        <f t="shared" si="10"/>
        <v xml:space="preserve">            Interest Income</v>
      </c>
      <c r="J23" s="71">
        <f t="shared" si="11"/>
        <v>2843000000</v>
      </c>
      <c r="K23" s="72">
        <f t="shared" si="12"/>
        <v>2825000000</v>
      </c>
      <c r="L23" s="72">
        <f t="shared" si="13"/>
        <v>3750000000</v>
      </c>
      <c r="M23" s="78" t="str">
        <f t="shared" si="14"/>
        <v/>
      </c>
      <c r="N23" s="79" t="str">
        <f t="shared" si="15"/>
        <v/>
      </c>
      <c r="O23" s="28" t="str">
        <f t="shared" si="16"/>
        <v/>
      </c>
    </row>
    <row r="24" spans="1:15" x14ac:dyDescent="0.35">
      <c r="A24" s="37" t="s">
        <v>202</v>
      </c>
      <c r="B24" s="20">
        <v>94680000000</v>
      </c>
      <c r="C24" s="20">
        <v>99803000000</v>
      </c>
      <c r="D24" s="20">
        <v>96995000000</v>
      </c>
      <c r="E24" s="20">
        <v>93736000000</v>
      </c>
      <c r="F24" s="20">
        <v>112010000000</v>
      </c>
      <c r="G24" s="24">
        <v>117777000000</v>
      </c>
      <c r="I24" s="37" t="str">
        <f t="shared" si="10"/>
        <v>Pretax Income</v>
      </c>
      <c r="J24" s="62">
        <f t="shared" si="11"/>
        <v>109207000000</v>
      </c>
      <c r="K24" s="63">
        <f t="shared" si="12"/>
        <v>119103000000</v>
      </c>
      <c r="L24" s="63">
        <f t="shared" si="13"/>
        <v>113736000000</v>
      </c>
      <c r="M24" s="63">
        <f t="shared" si="14"/>
        <v>123485000000</v>
      </c>
      <c r="N24" s="64">
        <f t="shared" si="15"/>
        <v>132729000000</v>
      </c>
      <c r="O24" s="24">
        <f t="shared" si="16"/>
        <v>141147000000</v>
      </c>
    </row>
    <row r="25" spans="1:15" x14ac:dyDescent="0.35">
      <c r="A25" s="36" t="s">
        <v>203</v>
      </c>
      <c r="B25" s="33" t="s">
        <v>192</v>
      </c>
      <c r="C25" s="33" t="s">
        <v>192</v>
      </c>
      <c r="D25" s="33" t="s">
        <v>192</v>
      </c>
      <c r="E25" s="33" t="s">
        <v>192</v>
      </c>
      <c r="F25" s="33" t="s">
        <v>192</v>
      </c>
      <c r="G25" s="34" t="s">
        <v>192</v>
      </c>
      <c r="I25" s="45" t="str">
        <f t="shared" si="10"/>
        <v>Provision for Income Tax</v>
      </c>
      <c r="J25" s="68">
        <f t="shared" si="11"/>
        <v>-14527000000</v>
      </c>
      <c r="K25" s="69">
        <f t="shared" si="12"/>
        <v>-19300000000</v>
      </c>
      <c r="L25" s="69">
        <f t="shared" si="13"/>
        <v>-16741000000</v>
      </c>
      <c r="M25" s="69">
        <f t="shared" si="14"/>
        <v>-29749000000</v>
      </c>
      <c r="N25" s="70">
        <f t="shared" si="15"/>
        <v>-20719000000</v>
      </c>
      <c r="O25" s="24">
        <f t="shared" si="16"/>
        <v>-23370000000</v>
      </c>
    </row>
    <row r="26" spans="1:15" x14ac:dyDescent="0.35">
      <c r="A26" s="37" t="s">
        <v>204</v>
      </c>
      <c r="B26" t="s">
        <v>192</v>
      </c>
      <c r="C26" t="s">
        <v>192</v>
      </c>
      <c r="D26" t="s">
        <v>192</v>
      </c>
      <c r="E26" t="s">
        <v>192</v>
      </c>
      <c r="F26" t="s">
        <v>192</v>
      </c>
      <c r="G26" s="25" t="s">
        <v>192</v>
      </c>
      <c r="I26" s="37" t="str">
        <f t="shared" si="10"/>
        <v>Net Income before Extraordinary Items and Discontinued Operations</v>
      </c>
      <c r="J26" s="62">
        <f t="shared" si="11"/>
        <v>94680000000</v>
      </c>
      <c r="K26" s="63">
        <f t="shared" si="12"/>
        <v>99803000000</v>
      </c>
      <c r="L26" s="63">
        <f t="shared" si="13"/>
        <v>96995000000</v>
      </c>
      <c r="M26" s="63">
        <f t="shared" si="14"/>
        <v>93736000000</v>
      </c>
      <c r="N26" s="64">
        <f t="shared" si="15"/>
        <v>112010000000</v>
      </c>
      <c r="O26" s="24">
        <f t="shared" si="16"/>
        <v>117777000000</v>
      </c>
    </row>
    <row r="27" spans="1:15" x14ac:dyDescent="0.35">
      <c r="A27" s="37" t="s">
        <v>205</v>
      </c>
      <c r="B27" s="20">
        <v>365817000000</v>
      </c>
      <c r="C27" s="20">
        <v>394328000000</v>
      </c>
      <c r="D27" s="20">
        <v>383285000000</v>
      </c>
      <c r="E27" s="20">
        <v>391035000000</v>
      </c>
      <c r="F27" s="20">
        <v>416161000000</v>
      </c>
      <c r="G27" s="24">
        <v>435617000000</v>
      </c>
      <c r="I27" s="37" t="str">
        <f t="shared" si="10"/>
        <v>Net Income after Extraordinary Items and Discontinued Operations</v>
      </c>
      <c r="J27" s="62">
        <f t="shared" si="11"/>
        <v>94680000000</v>
      </c>
      <c r="K27" s="63">
        <f t="shared" si="12"/>
        <v>99803000000</v>
      </c>
      <c r="L27" s="63">
        <f t="shared" si="13"/>
        <v>96995000000</v>
      </c>
      <c r="M27" s="63">
        <f t="shared" si="14"/>
        <v>93736000000</v>
      </c>
      <c r="N27" s="64">
        <f t="shared" si="15"/>
        <v>112010000000</v>
      </c>
      <c r="O27" s="24">
        <f t="shared" si="16"/>
        <v>117777000000</v>
      </c>
    </row>
    <row r="28" spans="1:15" x14ac:dyDescent="0.35">
      <c r="A28" s="37" t="s">
        <v>206</v>
      </c>
      <c r="B28" s="20">
        <v>-43887000000</v>
      </c>
      <c r="C28" s="20">
        <v>-51345000000</v>
      </c>
      <c r="D28" s="20">
        <v>-54847000000</v>
      </c>
      <c r="E28" s="20">
        <v>-57467000000</v>
      </c>
      <c r="F28" s="20">
        <v>-62151000000</v>
      </c>
      <c r="G28" s="24">
        <v>-65087000000</v>
      </c>
      <c r="I28" s="37" t="str">
        <f>A22</f>
        <v>Net Income after Non-Controlling/Minority Interests</v>
      </c>
      <c r="J28" s="62">
        <f t="shared" si="11"/>
        <v>94680000000</v>
      </c>
      <c r="K28" s="63">
        <f t="shared" si="12"/>
        <v>99803000000</v>
      </c>
      <c r="L28" s="63">
        <f t="shared" si="13"/>
        <v>96995000000</v>
      </c>
      <c r="M28" s="63">
        <f t="shared" si="14"/>
        <v>93736000000</v>
      </c>
      <c r="N28" s="64">
        <f t="shared" si="15"/>
        <v>112010000000</v>
      </c>
      <c r="O28" s="24">
        <f t="shared" si="16"/>
        <v>117777000000</v>
      </c>
    </row>
    <row r="29" spans="1:15" x14ac:dyDescent="0.35">
      <c r="A29" s="37" t="s">
        <v>207</v>
      </c>
      <c r="B29" s="20">
        <v>108949000000</v>
      </c>
      <c r="C29" s="20">
        <v>119437000000</v>
      </c>
      <c r="D29" s="20">
        <v>114301000000</v>
      </c>
      <c r="E29" s="20">
        <v>123216000000</v>
      </c>
      <c r="F29" s="20">
        <v>133050000000</v>
      </c>
      <c r="G29" s="24">
        <v>141070000000</v>
      </c>
      <c r="I29" s="37" t="str">
        <f t="shared" si="10"/>
        <v>Net Income Available to Common Stockholders</v>
      </c>
      <c r="J29" s="62">
        <f t="shared" si="11"/>
        <v>94680000000</v>
      </c>
      <c r="K29" s="63">
        <f t="shared" si="12"/>
        <v>99803000000</v>
      </c>
      <c r="L29" s="63">
        <f t="shared" si="13"/>
        <v>96995000000</v>
      </c>
      <c r="M29" s="63">
        <f t="shared" si="14"/>
        <v>93736000000</v>
      </c>
      <c r="N29" s="64">
        <f t="shared" si="15"/>
        <v>112010000000</v>
      </c>
      <c r="O29" s="24">
        <f t="shared" si="16"/>
        <v>117777000000</v>
      </c>
    </row>
    <row r="30" spans="1:15" x14ac:dyDescent="0.35">
      <c r="A30" s="37" t="s">
        <v>208</v>
      </c>
      <c r="B30" s="20">
        <v>0.13300000000000001</v>
      </c>
      <c r="C30" s="20">
        <v>0.16200000000000001</v>
      </c>
      <c r="D30" s="20">
        <v>0.14699999999999999</v>
      </c>
      <c r="E30" s="20">
        <v>0.24099999999999999</v>
      </c>
      <c r="F30" s="20">
        <v>0.156</v>
      </c>
      <c r="G30" s="25" t="s">
        <v>192</v>
      </c>
      <c r="I30" s="37" t="str">
        <f t="shared" si="10"/>
        <v>Diluted Net Income Available to Common Stockholders</v>
      </c>
      <c r="J30" s="62">
        <f t="shared" si="11"/>
        <v>94680000000</v>
      </c>
      <c r="K30" s="63">
        <f t="shared" si="12"/>
        <v>99803000000</v>
      </c>
      <c r="L30" s="63">
        <f t="shared" si="13"/>
        <v>96995000000</v>
      </c>
      <c r="M30" s="63">
        <f t="shared" si="14"/>
        <v>93736000000</v>
      </c>
      <c r="N30" s="64">
        <f t="shared" si="15"/>
        <v>112010000000</v>
      </c>
      <c r="O30" s="24">
        <f t="shared" si="16"/>
        <v>117777000000</v>
      </c>
    </row>
    <row r="31" spans="1:15" x14ac:dyDescent="0.35">
      <c r="A31" s="38" t="s">
        <v>209</v>
      </c>
      <c r="B31" s="27" t="s">
        <v>192</v>
      </c>
      <c r="C31" s="27" t="s">
        <v>192</v>
      </c>
      <c r="D31" s="27" t="s">
        <v>192</v>
      </c>
      <c r="E31" s="29">
        <v>103982000000</v>
      </c>
      <c r="F31" s="27" t="s">
        <v>192</v>
      </c>
      <c r="G31" s="28" t="s">
        <v>192</v>
      </c>
      <c r="I31" s="36" t="str">
        <f t="shared" si="10"/>
        <v>Income Statement Supplemental Section</v>
      </c>
      <c r="J31" s="80" t="str">
        <f t="shared" si="11"/>
        <v/>
      </c>
      <c r="K31" s="81" t="str">
        <f t="shared" si="12"/>
        <v/>
      </c>
      <c r="L31" s="81" t="str">
        <f t="shared" si="13"/>
        <v/>
      </c>
      <c r="M31" s="81" t="str">
        <f t="shared" si="14"/>
        <v/>
      </c>
      <c r="N31" s="82" t="str">
        <f t="shared" si="15"/>
        <v/>
      </c>
      <c r="O31" s="34" t="str">
        <f t="shared" si="16"/>
        <v/>
      </c>
    </row>
    <row r="32" spans="1:15" x14ac:dyDescent="0.35">
      <c r="A32" s="36" t="s">
        <v>210</v>
      </c>
      <c r="B32" s="21">
        <v>5.67</v>
      </c>
      <c r="C32" s="21">
        <v>6.15</v>
      </c>
      <c r="D32" s="21">
        <v>6.16</v>
      </c>
      <c r="E32" s="21">
        <v>6.11</v>
      </c>
      <c r="F32" s="21">
        <v>7.49</v>
      </c>
      <c r="G32" s="22">
        <v>7.92</v>
      </c>
      <c r="I32" s="37" t="str">
        <f t="shared" si="10"/>
        <v xml:space="preserve">    Reported Normalized and Operating Income/Expense Supplemental Section</v>
      </c>
      <c r="J32" s="83" t="str">
        <f t="shared" si="11"/>
        <v/>
      </c>
      <c r="K32" s="74" t="str">
        <f t="shared" si="12"/>
        <v/>
      </c>
      <c r="L32" s="74" t="str">
        <f t="shared" si="13"/>
        <v/>
      </c>
      <c r="M32" s="74" t="str">
        <f t="shared" si="14"/>
        <v/>
      </c>
      <c r="N32" s="75" t="str">
        <f t="shared" si="15"/>
        <v/>
      </c>
      <c r="O32" s="25" t="str">
        <f t="shared" si="16"/>
        <v/>
      </c>
    </row>
    <row r="33" spans="1:15" x14ac:dyDescent="0.35">
      <c r="A33" s="38" t="s">
        <v>211</v>
      </c>
      <c r="B33" s="29">
        <v>5.67</v>
      </c>
      <c r="C33" s="29">
        <v>6.15</v>
      </c>
      <c r="D33" s="29">
        <v>6.16</v>
      </c>
      <c r="E33" s="29">
        <v>6.11</v>
      </c>
      <c r="F33" s="29">
        <v>7.49</v>
      </c>
      <c r="G33" s="30">
        <v>7.92</v>
      </c>
      <c r="I33" s="37" t="str">
        <f t="shared" si="10"/>
        <v xml:space="preserve">        Total Revenue as Reported, Supplemental</v>
      </c>
      <c r="J33" s="62">
        <f t="shared" si="11"/>
        <v>365817000000</v>
      </c>
      <c r="K33" s="63">
        <f t="shared" si="12"/>
        <v>394328000000</v>
      </c>
      <c r="L33" s="63">
        <f t="shared" si="13"/>
        <v>383285000000</v>
      </c>
      <c r="M33" s="63">
        <f t="shared" si="14"/>
        <v>391035000000</v>
      </c>
      <c r="N33" s="64">
        <f t="shared" si="15"/>
        <v>416161000000</v>
      </c>
      <c r="O33" s="24">
        <f t="shared" si="16"/>
        <v>435617000000</v>
      </c>
    </row>
    <row r="34" spans="1:15" x14ac:dyDescent="0.35">
      <c r="A34" s="36" t="s">
        <v>78</v>
      </c>
      <c r="B34" s="21">
        <v>5.61</v>
      </c>
      <c r="C34" s="21">
        <v>6.11</v>
      </c>
      <c r="D34" s="21">
        <v>6.13</v>
      </c>
      <c r="E34" s="21">
        <v>6.08</v>
      </c>
      <c r="F34" s="21">
        <v>7.46</v>
      </c>
      <c r="G34" s="22">
        <v>7.91</v>
      </c>
      <c r="I34" s="37" t="str">
        <f t="shared" si="10"/>
        <v xml:space="preserve">        Reported Operating Expense</v>
      </c>
      <c r="J34" s="62">
        <f t="shared" si="11"/>
        <v>-43887000000</v>
      </c>
      <c r="K34" s="63">
        <f t="shared" si="12"/>
        <v>-51345000000</v>
      </c>
      <c r="L34" s="63">
        <f t="shared" si="13"/>
        <v>-54847000000</v>
      </c>
      <c r="M34" s="63">
        <f t="shared" si="14"/>
        <v>-57467000000</v>
      </c>
      <c r="N34" s="64">
        <f t="shared" si="15"/>
        <v>-62151000000</v>
      </c>
      <c r="O34" s="24">
        <f t="shared" si="16"/>
        <v>-65087000000</v>
      </c>
    </row>
    <row r="35" spans="1:15" x14ac:dyDescent="0.35">
      <c r="A35" s="38" t="s">
        <v>212</v>
      </c>
      <c r="B35" s="29">
        <v>5.61</v>
      </c>
      <c r="C35" s="29">
        <v>6.11</v>
      </c>
      <c r="D35" s="29">
        <v>6.13</v>
      </c>
      <c r="E35" s="29">
        <v>6.08</v>
      </c>
      <c r="F35" s="29">
        <v>7.46</v>
      </c>
      <c r="G35" s="30">
        <v>7.9</v>
      </c>
      <c r="I35" s="37" t="str">
        <f t="shared" si="10"/>
        <v xml:space="preserve">        Reported Total Operating Profit/Loss</v>
      </c>
      <c r="J35" s="62">
        <f t="shared" si="11"/>
        <v>108949000000</v>
      </c>
      <c r="K35" s="63">
        <f t="shared" si="12"/>
        <v>119437000000</v>
      </c>
      <c r="L35" s="63">
        <f t="shared" si="13"/>
        <v>114301000000</v>
      </c>
      <c r="M35" s="63">
        <f t="shared" si="14"/>
        <v>123216000000</v>
      </c>
      <c r="N35" s="64">
        <f t="shared" si="15"/>
        <v>133050000000</v>
      </c>
      <c r="O35" s="24">
        <f t="shared" si="16"/>
        <v>141070000000</v>
      </c>
    </row>
    <row r="36" spans="1:15" x14ac:dyDescent="0.35">
      <c r="A36" s="37" t="s">
        <v>213</v>
      </c>
      <c r="B36" s="20">
        <v>16701272000</v>
      </c>
      <c r="C36" s="20">
        <v>16215963000</v>
      </c>
      <c r="D36" s="20">
        <v>15744231000</v>
      </c>
      <c r="E36" s="20">
        <v>15343783000</v>
      </c>
      <c r="F36" s="20">
        <v>14948500000</v>
      </c>
      <c r="G36" s="24">
        <v>14865108500</v>
      </c>
      <c r="I36" s="37" t="str">
        <f t="shared" si="10"/>
        <v xml:space="preserve">        Reported Effective Tax Rate</v>
      </c>
      <c r="J36" s="48">
        <f t="shared" si="11"/>
        <v>0.13300000000000001</v>
      </c>
      <c r="K36" s="20">
        <f t="shared" si="12"/>
        <v>0.16200000000000001</v>
      </c>
      <c r="L36" s="20">
        <f t="shared" si="13"/>
        <v>0.14699999999999999</v>
      </c>
      <c r="M36" s="20">
        <f t="shared" si="14"/>
        <v>0.24099999999999999</v>
      </c>
      <c r="N36" s="24">
        <f t="shared" si="15"/>
        <v>0.156</v>
      </c>
      <c r="O36" s="25" t="str">
        <f t="shared" si="16"/>
        <v/>
      </c>
    </row>
    <row r="37" spans="1:15" x14ac:dyDescent="0.35">
      <c r="A37" s="37" t="s">
        <v>214</v>
      </c>
      <c r="B37" s="20">
        <v>16864919000</v>
      </c>
      <c r="C37" s="20">
        <v>16325819000</v>
      </c>
      <c r="D37" s="20">
        <v>15812547000</v>
      </c>
      <c r="E37" s="20">
        <v>15408095000</v>
      </c>
      <c r="F37" s="20">
        <v>15004697000</v>
      </c>
      <c r="G37" s="24">
        <v>14919569750</v>
      </c>
      <c r="I37" s="38" t="str">
        <f t="shared" si="10"/>
        <v xml:space="preserve">        Reported Normalized Income</v>
      </c>
      <c r="J37" s="26" t="str">
        <f t="shared" si="11"/>
        <v/>
      </c>
      <c r="K37" s="27" t="str">
        <f t="shared" si="12"/>
        <v/>
      </c>
      <c r="L37" s="27" t="str">
        <f t="shared" si="13"/>
        <v/>
      </c>
      <c r="M37" s="29">
        <f t="shared" si="14"/>
        <v>103982000000</v>
      </c>
      <c r="N37" s="28" t="str">
        <f t="shared" si="15"/>
        <v/>
      </c>
      <c r="O37" s="28" t="str">
        <f t="shared" si="16"/>
        <v/>
      </c>
    </row>
    <row r="38" spans="1:15" x14ac:dyDescent="0.35">
      <c r="A38" s="36" t="s">
        <v>215</v>
      </c>
      <c r="B38" s="21">
        <v>0.85</v>
      </c>
      <c r="C38" s="21">
        <v>0.9</v>
      </c>
      <c r="D38" s="21">
        <v>0.94</v>
      </c>
      <c r="E38" s="21">
        <v>0.98</v>
      </c>
      <c r="F38" s="21">
        <v>1.02</v>
      </c>
      <c r="G38" s="22">
        <v>1.03</v>
      </c>
      <c r="I38" s="36" t="str">
        <f t="shared" si="10"/>
        <v>Basic EPS</v>
      </c>
      <c r="J38" s="47">
        <f t="shared" si="11"/>
        <v>5.67</v>
      </c>
      <c r="K38" s="21">
        <f t="shared" si="12"/>
        <v>6.15</v>
      </c>
      <c r="L38" s="21">
        <f t="shared" si="13"/>
        <v>6.16</v>
      </c>
      <c r="M38" s="21">
        <f t="shared" si="14"/>
        <v>6.11</v>
      </c>
      <c r="N38" s="22">
        <f t="shared" si="15"/>
        <v>7.49</v>
      </c>
      <c r="O38" s="22">
        <f t="shared" si="16"/>
        <v>7.92</v>
      </c>
    </row>
    <row r="39" spans="1:15" x14ac:dyDescent="0.35">
      <c r="A39" s="38" t="s">
        <v>216</v>
      </c>
      <c r="B39" s="29">
        <v>0.85</v>
      </c>
      <c r="C39" s="29">
        <v>0.9</v>
      </c>
      <c r="D39" s="29">
        <v>0.94</v>
      </c>
      <c r="E39" s="29">
        <v>0.98</v>
      </c>
      <c r="F39" s="29">
        <v>1.02</v>
      </c>
      <c r="G39" s="30">
        <v>1.03</v>
      </c>
      <c r="I39" s="38" t="str">
        <f t="shared" si="10"/>
        <v xml:space="preserve">    Basic EPS from Continuing Operations</v>
      </c>
      <c r="J39" s="49">
        <f t="shared" si="11"/>
        <v>5.67</v>
      </c>
      <c r="K39" s="29">
        <f t="shared" si="12"/>
        <v>6.15</v>
      </c>
      <c r="L39" s="29">
        <f t="shared" si="13"/>
        <v>6.16</v>
      </c>
      <c r="M39" s="29">
        <f t="shared" si="14"/>
        <v>6.11</v>
      </c>
      <c r="N39" s="30">
        <f t="shared" si="15"/>
        <v>7.49</v>
      </c>
      <c r="O39" s="30">
        <f t="shared" si="16"/>
        <v>7.92</v>
      </c>
    </row>
    <row r="40" spans="1:15" x14ac:dyDescent="0.35">
      <c r="A40" s="37" t="s">
        <v>217</v>
      </c>
      <c r="B40" t="s">
        <v>192</v>
      </c>
      <c r="C40" t="s">
        <v>192</v>
      </c>
      <c r="D40" t="s">
        <v>192</v>
      </c>
      <c r="E40" s="20">
        <v>6.75</v>
      </c>
      <c r="F40" t="s">
        <v>192</v>
      </c>
      <c r="G40" s="25" t="s">
        <v>192</v>
      </c>
      <c r="I40" s="36" t="str">
        <f t="shared" si="10"/>
        <v>Diluted EPS</v>
      </c>
      <c r="J40" s="47">
        <f t="shared" si="11"/>
        <v>5.61</v>
      </c>
      <c r="K40" s="21">
        <f t="shared" si="12"/>
        <v>6.11</v>
      </c>
      <c r="L40" s="21">
        <f t="shared" si="13"/>
        <v>6.13</v>
      </c>
      <c r="M40" s="21">
        <f t="shared" si="14"/>
        <v>6.08</v>
      </c>
      <c r="N40" s="22">
        <f t="shared" si="15"/>
        <v>7.46</v>
      </c>
      <c r="O40" s="22">
        <f t="shared" si="16"/>
        <v>7.91</v>
      </c>
    </row>
    <row r="41" spans="1:15" x14ac:dyDescent="0.35">
      <c r="A41" s="37" t="s">
        <v>210</v>
      </c>
      <c r="B41" s="20">
        <v>5.67</v>
      </c>
      <c r="C41" s="20">
        <v>6.15</v>
      </c>
      <c r="D41" s="20">
        <v>6.16</v>
      </c>
      <c r="E41" s="20">
        <v>6.11</v>
      </c>
      <c r="F41" s="20">
        <v>7.49</v>
      </c>
      <c r="G41" s="24">
        <v>7.93</v>
      </c>
      <c r="I41" s="38" t="str">
        <f t="shared" si="10"/>
        <v xml:space="preserve">    Diluted EPS from Continuing Operations</v>
      </c>
      <c r="J41" s="49">
        <f t="shared" si="11"/>
        <v>5.61</v>
      </c>
      <c r="K41" s="29">
        <f t="shared" si="12"/>
        <v>6.11</v>
      </c>
      <c r="L41" s="29">
        <f t="shared" si="13"/>
        <v>6.13</v>
      </c>
      <c r="M41" s="29">
        <f t="shared" si="14"/>
        <v>6.08</v>
      </c>
      <c r="N41" s="30">
        <f t="shared" si="15"/>
        <v>7.46</v>
      </c>
      <c r="O41" s="30">
        <f t="shared" si="16"/>
        <v>7.9</v>
      </c>
    </row>
    <row r="42" spans="1:15" x14ac:dyDescent="0.35">
      <c r="A42" s="37" t="s">
        <v>78</v>
      </c>
      <c r="B42" s="20">
        <v>5.61</v>
      </c>
      <c r="C42" s="20">
        <v>6.11</v>
      </c>
      <c r="D42" s="20">
        <v>6.13</v>
      </c>
      <c r="E42" s="20">
        <v>6.08</v>
      </c>
      <c r="F42" s="20">
        <v>7.46</v>
      </c>
      <c r="G42" s="24">
        <v>7.9</v>
      </c>
      <c r="I42" s="37" t="str">
        <f t="shared" si="10"/>
        <v>Basic Weighted Average Shares Outstanding</v>
      </c>
      <c r="J42" s="62">
        <f t="shared" si="11"/>
        <v>16701272000</v>
      </c>
      <c r="K42" s="63">
        <f t="shared" si="12"/>
        <v>16215963000</v>
      </c>
      <c r="L42" s="63">
        <f t="shared" si="13"/>
        <v>15744231000</v>
      </c>
      <c r="M42" s="63">
        <f t="shared" si="14"/>
        <v>15343783000</v>
      </c>
      <c r="N42" s="64">
        <f t="shared" si="15"/>
        <v>14948500000</v>
      </c>
      <c r="O42" s="24">
        <f t="shared" si="16"/>
        <v>14865108500</v>
      </c>
    </row>
    <row r="43" spans="1:15" x14ac:dyDescent="0.35">
      <c r="A43" s="37" t="s">
        <v>218</v>
      </c>
      <c r="B43" s="20">
        <v>16701272000</v>
      </c>
      <c r="C43" s="20">
        <v>16215963000</v>
      </c>
      <c r="D43" s="20">
        <v>15744231000</v>
      </c>
      <c r="E43" s="20">
        <v>15343783000</v>
      </c>
      <c r="F43" s="20">
        <v>14948500000</v>
      </c>
      <c r="G43" s="24">
        <v>14865108500</v>
      </c>
      <c r="I43" s="45" t="str">
        <f t="shared" si="10"/>
        <v>Diluted Weighted Average Shares Outstanding</v>
      </c>
      <c r="J43" s="68">
        <f t="shared" si="11"/>
        <v>16864919000</v>
      </c>
      <c r="K43" s="69">
        <f t="shared" si="12"/>
        <v>16325819000</v>
      </c>
      <c r="L43" s="69">
        <f t="shared" si="13"/>
        <v>15812547000</v>
      </c>
      <c r="M43" s="69">
        <f t="shared" si="14"/>
        <v>15408095000</v>
      </c>
      <c r="N43" s="70">
        <f t="shared" si="15"/>
        <v>15004697000</v>
      </c>
      <c r="O43" s="24">
        <f t="shared" si="16"/>
        <v>14919569750</v>
      </c>
    </row>
    <row r="44" spans="1:15" x14ac:dyDescent="0.35">
      <c r="A44" s="37" t="s">
        <v>219</v>
      </c>
      <c r="B44" s="20">
        <v>16864919000</v>
      </c>
      <c r="C44" s="20">
        <v>16325819000</v>
      </c>
      <c r="D44" s="20">
        <v>15812547000</v>
      </c>
      <c r="E44" s="20">
        <v>15408095000</v>
      </c>
      <c r="F44" s="20">
        <v>15004697000</v>
      </c>
      <c r="G44" s="24">
        <v>14919569750</v>
      </c>
      <c r="I44" s="36" t="str">
        <f t="shared" si="10"/>
        <v>Total Dividend Per Share</v>
      </c>
      <c r="J44" s="47">
        <f t="shared" si="11"/>
        <v>0.85</v>
      </c>
      <c r="K44" s="21">
        <f t="shared" si="12"/>
        <v>0.9</v>
      </c>
      <c r="L44" s="21">
        <f t="shared" si="13"/>
        <v>0.94</v>
      </c>
      <c r="M44" s="21">
        <f t="shared" si="14"/>
        <v>0.98</v>
      </c>
      <c r="N44" s="22">
        <f t="shared" si="15"/>
        <v>1.02</v>
      </c>
      <c r="O44" s="22">
        <f t="shared" si="16"/>
        <v>1.03</v>
      </c>
    </row>
    <row r="45" spans="1:15" x14ac:dyDescent="0.35">
      <c r="A45" s="38" t="s">
        <v>220</v>
      </c>
      <c r="B45" s="27"/>
      <c r="C45" s="27"/>
      <c r="D45" s="27"/>
      <c r="E45" s="27"/>
      <c r="F45" s="27"/>
      <c r="G45" s="28"/>
      <c r="I45" s="38" t="str">
        <f t="shared" si="10"/>
        <v xml:space="preserve">    Regular Dividend Per Share Calc</v>
      </c>
      <c r="J45" s="49">
        <f t="shared" si="11"/>
        <v>0.85</v>
      </c>
      <c r="K45" s="29">
        <f t="shared" si="12"/>
        <v>0.9</v>
      </c>
      <c r="L45" s="29">
        <f t="shared" si="13"/>
        <v>0.94</v>
      </c>
      <c r="M45" s="29">
        <f t="shared" si="14"/>
        <v>0.98</v>
      </c>
      <c r="N45" s="30">
        <f t="shared" si="15"/>
        <v>1.02</v>
      </c>
      <c r="O45" s="30">
        <f t="shared" si="16"/>
        <v>1.03</v>
      </c>
    </row>
    <row r="46" spans="1:15" x14ac:dyDescent="0.35">
      <c r="I46" s="37" t="str">
        <f t="shared" si="10"/>
        <v>Reported Normalized Diluted EPS</v>
      </c>
      <c r="J46" s="23" t="str">
        <f t="shared" si="11"/>
        <v/>
      </c>
      <c r="K46" t="str">
        <f t="shared" si="12"/>
        <v/>
      </c>
      <c r="L46" t="str">
        <f t="shared" si="13"/>
        <v/>
      </c>
      <c r="M46" s="20">
        <f t="shared" si="14"/>
        <v>6.75</v>
      </c>
      <c r="N46" s="25" t="str">
        <f t="shared" si="15"/>
        <v/>
      </c>
      <c r="O46" s="25" t="str">
        <f t="shared" si="16"/>
        <v/>
      </c>
    </row>
    <row r="47" spans="1:15" x14ac:dyDescent="0.35">
      <c r="I47" s="37" t="str">
        <f t="shared" si="10"/>
        <v>Basic EPS</v>
      </c>
      <c r="J47" s="48">
        <f t="shared" si="11"/>
        <v>5.67</v>
      </c>
      <c r="K47" s="20">
        <f t="shared" si="12"/>
        <v>6.15</v>
      </c>
      <c r="L47" s="20">
        <f t="shared" si="13"/>
        <v>6.16</v>
      </c>
      <c r="M47" s="20">
        <f t="shared" si="14"/>
        <v>6.11</v>
      </c>
      <c r="N47" s="24">
        <f t="shared" si="15"/>
        <v>7.49</v>
      </c>
      <c r="O47" s="24">
        <f t="shared" si="16"/>
        <v>7.93</v>
      </c>
    </row>
    <row r="48" spans="1:15" x14ac:dyDescent="0.35">
      <c r="I48" s="37" t="str">
        <f t="shared" si="10"/>
        <v>Diluted EPS</v>
      </c>
      <c r="J48" s="48">
        <f t="shared" si="11"/>
        <v>5.61</v>
      </c>
      <c r="K48" s="20">
        <f t="shared" si="12"/>
        <v>6.11</v>
      </c>
      <c r="L48" s="20">
        <f t="shared" si="13"/>
        <v>6.13</v>
      </c>
      <c r="M48" s="20">
        <f t="shared" si="14"/>
        <v>6.08</v>
      </c>
      <c r="N48" s="24">
        <f t="shared" si="15"/>
        <v>7.46</v>
      </c>
      <c r="O48" s="24">
        <f t="shared" si="16"/>
        <v>7.9</v>
      </c>
    </row>
    <row r="49" spans="9:15" x14ac:dyDescent="0.35">
      <c r="I49" s="37" t="str">
        <f t="shared" si="10"/>
        <v>Basic WASO</v>
      </c>
      <c r="J49" s="62">
        <f t="shared" si="11"/>
        <v>16701272000</v>
      </c>
      <c r="K49" s="63">
        <f t="shared" si="12"/>
        <v>16215963000</v>
      </c>
      <c r="L49" s="63">
        <f t="shared" si="13"/>
        <v>15744231000</v>
      </c>
      <c r="M49" s="63">
        <f t="shared" si="14"/>
        <v>15343783000</v>
      </c>
      <c r="N49" s="64">
        <f t="shared" si="15"/>
        <v>14948500000</v>
      </c>
      <c r="O49" s="24">
        <f t="shared" si="16"/>
        <v>14865108500</v>
      </c>
    </row>
    <row r="50" spans="9:15" x14ac:dyDescent="0.35">
      <c r="I50" s="37" t="str">
        <f t="shared" si="10"/>
        <v>Diluted WASO</v>
      </c>
      <c r="J50" s="62">
        <f t="shared" si="11"/>
        <v>16864919000</v>
      </c>
      <c r="K50" s="63">
        <f t="shared" si="12"/>
        <v>16325819000</v>
      </c>
      <c r="L50" s="63">
        <f t="shared" si="13"/>
        <v>15812547000</v>
      </c>
      <c r="M50" s="63">
        <f t="shared" si="14"/>
        <v>15408095000</v>
      </c>
      <c r="N50" s="64">
        <f t="shared" si="15"/>
        <v>15004697000</v>
      </c>
      <c r="O50" s="24">
        <f t="shared" si="16"/>
        <v>14919569750</v>
      </c>
    </row>
    <row r="51" spans="9:15" x14ac:dyDescent="0.35">
      <c r="I51" s="38" t="str">
        <f t="shared" si="10"/>
        <v>Fiscal year ends in Sep 30 | USD</v>
      </c>
      <c r="J51" s="26">
        <f t="shared" si="11"/>
        <v>0</v>
      </c>
      <c r="K51" s="27">
        <f t="shared" si="12"/>
        <v>0</v>
      </c>
      <c r="L51" s="27">
        <f t="shared" si="13"/>
        <v>0</v>
      </c>
      <c r="M51" s="27">
        <f t="shared" si="14"/>
        <v>0</v>
      </c>
      <c r="N51" s="28">
        <f t="shared" si="15"/>
        <v>0</v>
      </c>
      <c r="O51" s="28">
        <f t="shared" si="16"/>
        <v>0</v>
      </c>
    </row>
  </sheetData>
  <mergeCells count="2">
    <mergeCell ref="A1:G1"/>
    <mergeCell ref="I1:O1"/>
  </mergeCells>
  <conditionalFormatting sqref="J7:P7">
    <cfRule type="cellIs" dxfId="30" priority="5" operator="equal">
      <formula>TRUE</formula>
    </cfRule>
    <cfRule type="cellIs" dxfId="29" priority="6" operator="equal">
      <formula>FALSE</formula>
    </cfRule>
  </conditionalFormatting>
  <conditionalFormatting sqref="J13:P13">
    <cfRule type="cellIs" dxfId="28" priority="1" operator="equal">
      <formula>TRUE</formula>
    </cfRule>
    <cfRule type="cellIs" dxfId="27" priority="2" operator="equal">
      <formula>FALSE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FFC000"/>
    <pageSetUpPr fitToPage="1"/>
  </sheetPr>
  <dimension ref="A1:L61"/>
  <sheetViews>
    <sheetView showGridLines="0" zoomScaleNormal="100" workbookViewId="0">
      <pane xSplit="2" ySplit="4" topLeftCell="C5" activePane="bottomRight" state="frozen"/>
      <selection activeCell="C43" sqref="C43:G43"/>
      <selection pane="topRight" activeCell="C43" sqref="C43:G43"/>
      <selection pane="bottomLeft" activeCell="C43" sqref="C43:G43"/>
      <selection pane="bottomRight" activeCell="B54" sqref="B54"/>
    </sheetView>
  </sheetViews>
  <sheetFormatPr defaultColWidth="8.6328125" defaultRowHeight="14.5" x14ac:dyDescent="0.35"/>
  <cols>
    <col min="1" max="1" width="2" customWidth="1"/>
    <col min="2" max="2" width="61.36328125" bestFit="1" customWidth="1"/>
    <col min="3" max="12" width="14" customWidth="1"/>
  </cols>
  <sheetData>
    <row r="1" spans="1:12" ht="30" customHeight="1" x14ac:dyDescent="0.35">
      <c r="A1" s="1"/>
      <c r="B1" s="370" t="s">
        <v>44</v>
      </c>
      <c r="C1" s="370"/>
      <c r="D1" s="370"/>
      <c r="E1" s="370"/>
      <c r="F1" s="370"/>
      <c r="G1" s="379"/>
      <c r="I1" s="90" t="s">
        <v>223</v>
      </c>
      <c r="J1" s="91" t="b">
        <f>AND('Raw (Income Statement)'!P7,'Raw (Income Statement)'!P13)</f>
        <v>1</v>
      </c>
    </row>
    <row r="2" spans="1:12" ht="21.75" customHeight="1" x14ac:dyDescent="0.35">
      <c r="A2" s="2"/>
      <c r="B2" s="371" t="s">
        <v>174</v>
      </c>
      <c r="C2" s="371"/>
      <c r="D2" s="371"/>
      <c r="E2" s="371"/>
      <c r="F2" s="371"/>
      <c r="G2" s="380"/>
    </row>
    <row r="3" spans="1:12" ht="18" customHeight="1" x14ac:dyDescent="0.35">
      <c r="G3" s="175"/>
    </row>
    <row r="4" spans="1:12" ht="19.5" customHeight="1" x14ac:dyDescent="0.35">
      <c r="B4" s="3" t="s">
        <v>431</v>
      </c>
      <c r="C4" s="4" t="str">
        <f>"FY"&amp;'Raw (Income Statement)'!B2</f>
        <v>FY2021</v>
      </c>
      <c r="D4" s="4" t="str">
        <f>"FY"&amp;'Raw (Income Statement)'!C2</f>
        <v>FY2022</v>
      </c>
      <c r="E4" s="4" t="str">
        <f>"FY"&amp;'Raw (Income Statement)'!D2</f>
        <v>FY2023</v>
      </c>
      <c r="F4" s="4" t="str">
        <f>"FY"&amp;'Raw (Income Statement)'!E2</f>
        <v>FY2024</v>
      </c>
      <c r="G4" s="176" t="str">
        <f>"FY"&amp;'Raw (Income Statement)'!F2</f>
        <v>FY2025</v>
      </c>
      <c r="H4" s="190" t="str">
        <f>"FY"&amp;(MID(G4,3,4)+1)</f>
        <v>FY2026</v>
      </c>
      <c r="I4" s="191" t="str">
        <f t="shared" ref="I4:L4" si="0">"FY"&amp;(MID(H4,3,4)+1)</f>
        <v>FY2027</v>
      </c>
      <c r="J4" s="191" t="str">
        <f t="shared" si="0"/>
        <v>FY2028</v>
      </c>
      <c r="K4" s="191" t="str">
        <f t="shared" si="0"/>
        <v>FY2029</v>
      </c>
      <c r="L4" s="191" t="str">
        <f t="shared" si="0"/>
        <v>FY2030</v>
      </c>
    </row>
    <row r="5" spans="1:12" ht="7.5" customHeight="1" x14ac:dyDescent="0.35">
      <c r="B5" s="5"/>
      <c r="C5" s="5"/>
      <c r="D5" s="5"/>
      <c r="E5" s="5"/>
      <c r="F5" s="5"/>
      <c r="G5" s="177"/>
    </row>
    <row r="6" spans="1:12" ht="18" customHeight="1" x14ac:dyDescent="0.35">
      <c r="B6" s="173" t="s">
        <v>45</v>
      </c>
      <c r="C6" s="174"/>
      <c r="D6" s="174"/>
      <c r="E6" s="174"/>
      <c r="F6" s="174"/>
      <c r="G6" s="189"/>
      <c r="H6" s="378" t="str">
        <f>"PROJECTED " &amp; B6</f>
        <v>PROJECTED REVENUE</v>
      </c>
      <c r="I6" s="378"/>
      <c r="J6" s="378"/>
      <c r="K6" s="378"/>
      <c r="L6" s="378"/>
    </row>
    <row r="7" spans="1:12" ht="15.75" customHeight="1" x14ac:dyDescent="0.35">
      <c r="B7" s="10" t="s">
        <v>46</v>
      </c>
      <c r="C7" s="149">
        <f>'Raw (Income Statement)'!J5</f>
        <v>297392000000</v>
      </c>
      <c r="D7" s="149">
        <f>'Raw (Income Statement)'!K5</f>
        <v>316199000000</v>
      </c>
      <c r="E7" s="149">
        <f>'Raw (Income Statement)'!L5</f>
        <v>298085000000</v>
      </c>
      <c r="F7" s="149">
        <f>'Raw (Income Statement)'!M5</f>
        <v>294866000000</v>
      </c>
      <c r="G7" s="178">
        <f>'Raw (Income Statement)'!N5</f>
        <v>307003000000</v>
      </c>
      <c r="H7" s="298">
        <f>G7*(1+'Assumptions &amp; Drivers'!E7)</f>
        <v>319639571903.8479</v>
      </c>
      <c r="I7" s="149">
        <f>H7*(1+'Assumptions &amp; Drivers'!F7)</f>
        <v>332796278625.5351</v>
      </c>
      <c r="J7" s="149">
        <f>I7*(1+'Assumptions &amp; Drivers'!G7)</f>
        <v>346494529470.59058</v>
      </c>
      <c r="K7" s="149">
        <f>J7*(1+'Assumptions &amp; Drivers'!H7)</f>
        <v>360756614974.46204</v>
      </c>
      <c r="L7" s="149">
        <f>K7*(1+'Assumptions &amp; Drivers'!I7)</f>
        <v>375605743174.88208</v>
      </c>
    </row>
    <row r="8" spans="1:12" ht="15.75" customHeight="1" x14ac:dyDescent="0.35">
      <c r="B8" s="8" t="s">
        <v>47</v>
      </c>
      <c r="C8" s="150">
        <f>'Raw (Income Statement)'!J6</f>
        <v>68425000000</v>
      </c>
      <c r="D8" s="150">
        <f>'Raw (Income Statement)'!K6</f>
        <v>78129000000</v>
      </c>
      <c r="E8" s="150">
        <f>'Raw (Income Statement)'!L6</f>
        <v>85200000000</v>
      </c>
      <c r="F8" s="150">
        <f>'Raw (Income Statement)'!M6</f>
        <v>96169000000</v>
      </c>
      <c r="G8" s="179">
        <f>'Raw (Income Statement)'!N6</f>
        <v>109158000000</v>
      </c>
      <c r="H8" s="299">
        <f>G8*(1+'Assumptions &amp; Drivers'!E8)</f>
        <v>123901350372.78125</v>
      </c>
      <c r="I8" s="150">
        <f>H8*(1+'Assumptions &amp; Drivers'!F8)</f>
        <v>140636001247.72073</v>
      </c>
      <c r="J8" s="150">
        <f>I8*(1+'Assumptions &amp; Drivers'!G8)</f>
        <v>159630906260.83975</v>
      </c>
      <c r="K8" s="150">
        <f>J8*(1+'Assumptions &amp; Drivers'!H8)</f>
        <v>181191345086.47012</v>
      </c>
      <c r="L8" s="150">
        <f>K8*(1+'Assumptions &amp; Drivers'!I8)</f>
        <v>205663829788.69391</v>
      </c>
    </row>
    <row r="9" spans="1:12" ht="15.75" customHeight="1" x14ac:dyDescent="0.35">
      <c r="B9" s="10" t="s">
        <v>48</v>
      </c>
      <c r="C9" s="39">
        <v>0</v>
      </c>
      <c r="D9" s="39">
        <v>0</v>
      </c>
      <c r="E9" s="39">
        <v>0</v>
      </c>
      <c r="F9" s="39">
        <v>0</v>
      </c>
      <c r="G9" s="180">
        <v>0</v>
      </c>
      <c r="H9" s="300">
        <v>0</v>
      </c>
      <c r="I9" s="39">
        <v>0</v>
      </c>
      <c r="J9" s="39">
        <v>0</v>
      </c>
      <c r="K9" s="39">
        <v>0</v>
      </c>
      <c r="L9" s="39">
        <v>0</v>
      </c>
    </row>
    <row r="10" spans="1:12" ht="16.5" customHeight="1" thickBot="1" x14ac:dyDescent="0.4">
      <c r="B10" s="9" t="s">
        <v>49</v>
      </c>
      <c r="C10" s="42">
        <f>SUM(C7:C9)</f>
        <v>365817000000</v>
      </c>
      <c r="D10" s="42">
        <f>SUM(D7:D9)</f>
        <v>394328000000</v>
      </c>
      <c r="E10" s="42">
        <f>SUM(E7:E9)</f>
        <v>383285000000</v>
      </c>
      <c r="F10" s="42">
        <f>SUM(F7:F9)</f>
        <v>391035000000</v>
      </c>
      <c r="G10" s="181">
        <f>SUM(G7:G9)</f>
        <v>416161000000</v>
      </c>
      <c r="H10" s="301">
        <f t="shared" ref="H10:L10" si="1">SUM(H7:H9)</f>
        <v>443540922276.62915</v>
      </c>
      <c r="I10" s="42">
        <f t="shared" si="1"/>
        <v>473432279873.25586</v>
      </c>
      <c r="J10" s="42">
        <f t="shared" si="1"/>
        <v>506125435731.4303</v>
      </c>
      <c r="K10" s="42">
        <f t="shared" si="1"/>
        <v>541947960060.93213</v>
      </c>
      <c r="L10" s="42">
        <f t="shared" si="1"/>
        <v>581269572963.57593</v>
      </c>
    </row>
    <row r="11" spans="1:12" ht="13.5" customHeight="1" x14ac:dyDescent="0.35">
      <c r="B11" s="305" t="s">
        <v>507</v>
      </c>
      <c r="D11" s="168">
        <f>D10/C10-1</f>
        <v>7.7937876041846099E-2</v>
      </c>
      <c r="E11" s="168">
        <f>E10/D10-1</f>
        <v>-2.800460530319937E-2</v>
      </c>
      <c r="F11" s="168">
        <f>F10/E10-1</f>
        <v>2.021994077514111E-2</v>
      </c>
      <c r="G11" s="306">
        <f>G10/F10-1</f>
        <v>6.425511782832749E-2</v>
      </c>
      <c r="H11" s="168">
        <f>H10/G10-1</f>
        <v>6.5791658220326177E-2</v>
      </c>
      <c r="I11" s="168">
        <f t="shared" ref="I11:L11" si="2">I10/H10-1</f>
        <v>6.7392558601354846E-2</v>
      </c>
      <c r="J11" s="168">
        <f t="shared" si="2"/>
        <v>6.9055612065419103E-2</v>
      </c>
      <c r="K11" s="168">
        <f t="shared" si="2"/>
        <v>7.0777957005327519E-2</v>
      </c>
      <c r="L11" s="168">
        <f t="shared" si="2"/>
        <v>7.2556067741675445E-2</v>
      </c>
    </row>
    <row r="12" spans="1:12" ht="6" customHeight="1" x14ac:dyDescent="0.35">
      <c r="B12" s="5"/>
      <c r="C12" s="5"/>
      <c r="D12" s="5"/>
      <c r="E12" s="5"/>
      <c r="F12" s="5"/>
      <c r="G12" s="177"/>
    </row>
    <row r="13" spans="1:12" ht="18" customHeight="1" x14ac:dyDescent="0.35">
      <c r="B13" s="375" t="s">
        <v>50</v>
      </c>
      <c r="C13" s="376"/>
      <c r="D13" s="376"/>
      <c r="E13" s="376"/>
      <c r="F13" s="376"/>
      <c r="G13" s="377"/>
      <c r="H13" s="378" t="str">
        <f>"PROJECTED " &amp; B13</f>
        <v>PROJECTED COST OF GOODS SOLD (COGS)</v>
      </c>
      <c r="I13" s="378"/>
      <c r="J13" s="378"/>
      <c r="K13" s="378"/>
      <c r="L13" s="378"/>
    </row>
    <row r="14" spans="1:12" ht="15.75" customHeight="1" x14ac:dyDescent="0.35">
      <c r="B14" s="10" t="s">
        <v>51</v>
      </c>
      <c r="C14" s="149">
        <f>'Raw (Income Statement)'!J11</f>
        <v>192266000000</v>
      </c>
      <c r="D14" s="149">
        <f>'Raw (Income Statement)'!K11</f>
        <v>201471000000</v>
      </c>
      <c r="E14" s="149">
        <f>'Raw (Income Statement)'!L11</f>
        <v>189282000000</v>
      </c>
      <c r="F14" s="149">
        <f>'Raw (Income Statement)'!M11</f>
        <v>185233000000</v>
      </c>
      <c r="G14" s="178">
        <f>'Raw (Income Statement)'!N11</f>
        <v>194116000000</v>
      </c>
      <c r="H14" s="298">
        <f>H7*(1-'Assumptions &amp; Drivers'!E11)</f>
        <v>202331849015.13571</v>
      </c>
      <c r="I14" s="149">
        <f>I7*(1-'Assumptions &amp; Drivers'!F11)</f>
        <v>208996062976.83603</v>
      </c>
      <c r="J14" s="149">
        <f>J7*(1-'Assumptions &amp; Drivers'!G11)</f>
        <v>215866091860.17792</v>
      </c>
      <c r="K14" s="149">
        <f>K7*(1-'Assumptions &amp; Drivers'!H11)</f>
        <v>227276667433.91107</v>
      </c>
      <c r="L14" s="149">
        <f>L7*(1-'Assumptions &amp; Drivers'!I11)</f>
        <v>236631618200.17572</v>
      </c>
    </row>
    <row r="15" spans="1:12" ht="15.75" customHeight="1" x14ac:dyDescent="0.35">
      <c r="B15" s="8" t="s">
        <v>230</v>
      </c>
      <c r="C15" s="150">
        <f>'Raw (Income Statement)'!J12</f>
        <v>20715000000</v>
      </c>
      <c r="D15" s="150">
        <f>'Raw (Income Statement)'!K12</f>
        <v>22075000000</v>
      </c>
      <c r="E15" s="150">
        <f>'Raw (Income Statement)'!L12</f>
        <v>24855000000</v>
      </c>
      <c r="F15" s="150">
        <f>'Raw (Income Statement)'!M12</f>
        <v>25119000000</v>
      </c>
      <c r="G15" s="179">
        <f>'Raw (Income Statement)'!N12</f>
        <v>26844000000</v>
      </c>
      <c r="H15" s="299">
        <f>H8*(1-'Assumptions &amp; Drivers'!E12)</f>
        <v>30108028140.585842</v>
      </c>
      <c r="I15" s="150">
        <f>I8*(1-'Assumptions &amp; Drivers'!F12)</f>
        <v>33471368296.957535</v>
      </c>
      <c r="J15" s="150">
        <f>J8*(1-'Assumptions &amp; Drivers'!G12)</f>
        <v>37194001158.775658</v>
      </c>
      <c r="K15" s="150">
        <f>K8*(1-'Assumptions &amp; Drivers'!H12)</f>
        <v>45297836271.617531</v>
      </c>
      <c r="L15" s="150">
        <f>L8*(1-'Assumptions &amp; Drivers'!I12)</f>
        <v>51415957447.173477</v>
      </c>
    </row>
    <row r="16" spans="1:12" ht="15.75" customHeight="1" x14ac:dyDescent="0.35">
      <c r="B16" s="10" t="s">
        <v>52</v>
      </c>
      <c r="C16" s="39">
        <v>0</v>
      </c>
      <c r="D16" s="39">
        <v>0</v>
      </c>
      <c r="E16" s="39">
        <v>0</v>
      </c>
      <c r="F16" s="39">
        <v>0</v>
      </c>
      <c r="G16" s="180">
        <v>0</v>
      </c>
      <c r="H16" s="300">
        <v>0</v>
      </c>
      <c r="I16" s="39">
        <v>0</v>
      </c>
      <c r="J16" s="39">
        <v>0</v>
      </c>
      <c r="K16" s="39">
        <v>0</v>
      </c>
      <c r="L16" s="39">
        <v>0</v>
      </c>
    </row>
    <row r="17" spans="2:12" ht="15.75" customHeight="1" x14ac:dyDescent="0.35">
      <c r="B17" s="8" t="s">
        <v>53</v>
      </c>
      <c r="C17" s="40">
        <v>0</v>
      </c>
      <c r="D17" s="40">
        <v>0</v>
      </c>
      <c r="E17" s="40">
        <v>0</v>
      </c>
      <c r="F17" s="40">
        <v>0</v>
      </c>
      <c r="G17" s="182">
        <v>0</v>
      </c>
      <c r="H17" s="302">
        <v>0</v>
      </c>
      <c r="I17" s="40">
        <v>0</v>
      </c>
      <c r="J17" s="40">
        <v>0</v>
      </c>
      <c r="K17" s="40">
        <v>0</v>
      </c>
      <c r="L17" s="40">
        <v>0</v>
      </c>
    </row>
    <row r="18" spans="2:12" ht="16.5" customHeight="1" thickBot="1" x14ac:dyDescent="0.4">
      <c r="B18" s="9" t="s">
        <v>54</v>
      </c>
      <c r="C18" s="42">
        <f>SUM(C14:C17)</f>
        <v>212981000000</v>
      </c>
      <c r="D18" s="42">
        <f>SUM(D14:D17)</f>
        <v>223546000000</v>
      </c>
      <c r="E18" s="42">
        <f>SUM(E14:E17)</f>
        <v>214137000000</v>
      </c>
      <c r="F18" s="42">
        <f>SUM(F14:F17)</f>
        <v>210352000000</v>
      </c>
      <c r="G18" s="181">
        <f>SUM(G14:G17)</f>
        <v>220960000000</v>
      </c>
      <c r="H18" s="301">
        <f t="shared" ref="H18:L18" si="3">SUM(H14:H17)</f>
        <v>232439877155.72156</v>
      </c>
      <c r="I18" s="42">
        <f t="shared" si="3"/>
        <v>242467431273.79358</v>
      </c>
      <c r="J18" s="42">
        <f t="shared" si="3"/>
        <v>253060093018.95358</v>
      </c>
      <c r="K18" s="42">
        <f t="shared" si="3"/>
        <v>272574503705.52859</v>
      </c>
      <c r="L18" s="42">
        <f t="shared" si="3"/>
        <v>288047575647.34918</v>
      </c>
    </row>
    <row r="19" spans="2:12" ht="13.5" customHeight="1" x14ac:dyDescent="0.35">
      <c r="B19" s="305" t="s">
        <v>540</v>
      </c>
      <c r="D19" s="168">
        <f>D18/C18-1</f>
        <v>4.960536385874792E-2</v>
      </c>
      <c r="E19" s="168">
        <f>E18/D18-1</f>
        <v>-4.208977123276636E-2</v>
      </c>
      <c r="F19" s="168">
        <f>F18/E18-1</f>
        <v>-1.7675600199872021E-2</v>
      </c>
      <c r="G19" s="306">
        <f>G18/F18-1</f>
        <v>5.0429755837833712E-2</v>
      </c>
      <c r="H19" s="168">
        <f>H18/G18-1</f>
        <v>5.1954549039290088E-2</v>
      </c>
      <c r="I19" s="168">
        <f t="shared" ref="I19" si="4">I18/H18-1</f>
        <v>4.3140420829572701E-2</v>
      </c>
      <c r="J19" s="168">
        <f t="shared" ref="J19" si="5">J18/I18-1</f>
        <v>4.3686946694291517E-2</v>
      </c>
      <c r="K19" s="168">
        <f t="shared" ref="K19" si="6">K18/J18-1</f>
        <v>7.7113741853850559E-2</v>
      </c>
      <c r="L19" s="168">
        <f t="shared" ref="L19" si="7">L18/K18-1</f>
        <v>5.6766394990988012E-2</v>
      </c>
    </row>
    <row r="20" spans="2:12" ht="6" customHeight="1" x14ac:dyDescent="0.35">
      <c r="B20" s="5"/>
      <c r="C20" s="43"/>
      <c r="D20" s="43"/>
      <c r="E20" s="43"/>
      <c r="F20" s="43"/>
      <c r="G20" s="183"/>
    </row>
    <row r="21" spans="2:12" ht="16.5" customHeight="1" thickBot="1" x14ac:dyDescent="0.4">
      <c r="B21" s="9" t="s">
        <v>55</v>
      </c>
      <c r="C21" s="42">
        <f t="shared" ref="C21:L21" si="8">C10-C18</f>
        <v>152836000000</v>
      </c>
      <c r="D21" s="42">
        <f t="shared" si="8"/>
        <v>170782000000</v>
      </c>
      <c r="E21" s="42">
        <f t="shared" si="8"/>
        <v>169148000000</v>
      </c>
      <c r="F21" s="42">
        <f t="shared" si="8"/>
        <v>180683000000</v>
      </c>
      <c r="G21" s="181">
        <f t="shared" si="8"/>
        <v>195201000000</v>
      </c>
      <c r="H21" s="301">
        <f t="shared" si="8"/>
        <v>211101045120.90759</v>
      </c>
      <c r="I21" s="42">
        <f t="shared" si="8"/>
        <v>230964848599.46228</v>
      </c>
      <c r="J21" s="42">
        <f t="shared" si="8"/>
        <v>253065342712.47672</v>
      </c>
      <c r="K21" s="42">
        <f t="shared" si="8"/>
        <v>269373456355.40353</v>
      </c>
      <c r="L21" s="42">
        <f t="shared" si="8"/>
        <v>293221997316.22675</v>
      </c>
    </row>
    <row r="22" spans="2:12" ht="13.5" customHeight="1" x14ac:dyDescent="0.35">
      <c r="B22" s="305" t="s">
        <v>508</v>
      </c>
      <c r="C22" s="168">
        <f>C21/C10</f>
        <v>0.41779359625167778</v>
      </c>
      <c r="D22" s="168">
        <f t="shared" ref="D22:L22" si="9">D21/D10</f>
        <v>0.43309630561360085</v>
      </c>
      <c r="E22" s="168">
        <f t="shared" si="9"/>
        <v>0.44131129577207562</v>
      </c>
      <c r="F22" s="168">
        <f t="shared" si="9"/>
        <v>0.46206349815233932</v>
      </c>
      <c r="G22" s="306">
        <f t="shared" si="9"/>
        <v>0.46905164107160452</v>
      </c>
      <c r="H22" s="168">
        <f t="shared" si="9"/>
        <v>0.47594491177354625</v>
      </c>
      <c r="I22" s="168">
        <f t="shared" si="9"/>
        <v>0.48785192395688493</v>
      </c>
      <c r="J22" s="168">
        <f t="shared" si="9"/>
        <v>0.50000518615856127</v>
      </c>
      <c r="K22" s="168">
        <f t="shared" si="9"/>
        <v>0.49704672073148393</v>
      </c>
      <c r="L22" s="168">
        <f t="shared" si="9"/>
        <v>0.50445096553264956</v>
      </c>
    </row>
    <row r="23" spans="2:12" ht="6" customHeight="1" x14ac:dyDescent="0.35">
      <c r="B23" s="5"/>
      <c r="C23" s="43"/>
      <c r="D23" s="43"/>
      <c r="E23" s="43"/>
      <c r="F23" s="43"/>
      <c r="G23" s="183"/>
    </row>
    <row r="24" spans="2:12" ht="18" customHeight="1" x14ac:dyDescent="0.35">
      <c r="B24" s="375" t="s">
        <v>56</v>
      </c>
      <c r="C24" s="376"/>
      <c r="D24" s="376"/>
      <c r="E24" s="376"/>
      <c r="F24" s="376"/>
      <c r="G24" s="377"/>
      <c r="H24" s="378" t="str">
        <f>"PROJECTED " &amp; B24</f>
        <v>PROJECTED OPERATING EXPENSES</v>
      </c>
      <c r="I24" s="378"/>
      <c r="J24" s="378"/>
      <c r="K24" s="378"/>
      <c r="L24" s="378"/>
    </row>
    <row r="25" spans="2:12" ht="15.75" customHeight="1" x14ac:dyDescent="0.35">
      <c r="B25" s="10" t="s">
        <v>57</v>
      </c>
      <c r="C25" s="149">
        <f>ABS('Raw (Income Statement)'!J16)</f>
        <v>21914000000</v>
      </c>
      <c r="D25" s="149">
        <f>ABS('Raw (Income Statement)'!K16)</f>
        <v>26251000000</v>
      </c>
      <c r="E25" s="149">
        <f>ABS('Raw (Income Statement)'!L16)</f>
        <v>29915000000</v>
      </c>
      <c r="F25" s="149">
        <f>ABS('Raw (Income Statement)'!M16)</f>
        <v>31370000000</v>
      </c>
      <c r="G25" s="178">
        <f>ABS('Raw (Income Statement)'!N16)</f>
        <v>34550000000</v>
      </c>
      <c r="H25" s="298">
        <f>H10*'Assumptions &amp; Drivers'!E13</f>
        <v>37257437471.236855</v>
      </c>
      <c r="I25" s="149">
        <f>I10*'Assumptions &amp; Drivers'!F13</f>
        <v>39294879229.48024</v>
      </c>
      <c r="J25" s="149">
        <f>J10*'Assumptions &amp; Drivers'!G13</f>
        <v>41502285729.977287</v>
      </c>
      <c r="K25" s="149">
        <f>K10*'Assumptions &amp; Drivers'!H13</f>
        <v>43897784764.935501</v>
      </c>
      <c r="L25" s="149">
        <f>L10*'Assumptions &amp; Drivers'!I13</f>
        <v>46501565837.086075</v>
      </c>
    </row>
    <row r="26" spans="2:12" ht="15.75" hidden="1" customHeight="1" x14ac:dyDescent="0.35">
      <c r="B26" s="8" t="s">
        <v>58</v>
      </c>
      <c r="C26" s="150"/>
      <c r="D26" s="150"/>
      <c r="E26" s="150"/>
      <c r="F26" s="150"/>
      <c r="G26" s="179"/>
      <c r="H26" s="299"/>
      <c r="I26" s="150"/>
      <c r="J26" s="150"/>
      <c r="K26" s="150"/>
      <c r="L26" s="150"/>
    </row>
    <row r="27" spans="2:12" ht="15.75" hidden="1" customHeight="1" x14ac:dyDescent="0.35">
      <c r="B27" s="10" t="s">
        <v>59</v>
      </c>
      <c r="C27" s="149"/>
      <c r="D27" s="149"/>
      <c r="E27" s="149"/>
      <c r="F27" s="149"/>
      <c r="G27" s="178"/>
      <c r="H27" s="298"/>
      <c r="I27" s="149"/>
      <c r="J27" s="149"/>
      <c r="K27" s="149"/>
      <c r="L27" s="149"/>
    </row>
    <row r="28" spans="2:12" ht="15.75" customHeight="1" x14ac:dyDescent="0.35">
      <c r="B28" s="8" t="s">
        <v>231</v>
      </c>
      <c r="C28" s="150">
        <f>ABS('Raw (Income Statement)'!J15)</f>
        <v>21973000000</v>
      </c>
      <c r="D28" s="150">
        <f>ABS('Raw (Income Statement)'!K15)</f>
        <v>25094000000</v>
      </c>
      <c r="E28" s="150">
        <f>ABS('Raw (Income Statement)'!L15)</f>
        <v>24932000000</v>
      </c>
      <c r="F28" s="150">
        <f>ABS('Raw (Income Statement)'!M15)</f>
        <v>26097000000</v>
      </c>
      <c r="G28" s="179">
        <f>ABS('Raw (Income Statement)'!N15)</f>
        <v>27601000000</v>
      </c>
      <c r="H28" s="299">
        <f>H10*'Assumptions &amp; Drivers'!E14</f>
        <v>28830159947.980896</v>
      </c>
      <c r="I28" s="150">
        <f>I10*'Assumptions &amp; Drivers'!F14</f>
        <v>30299665911.888374</v>
      </c>
      <c r="J28" s="150">
        <f>J10*'Assumptions &amp; Drivers'!G14</f>
        <v>31885902451.080109</v>
      </c>
      <c r="K28" s="150">
        <f>K10*'Assumptions &amp; Drivers'!H14</f>
        <v>33600773523.77779</v>
      </c>
      <c r="L28" s="150">
        <f>L10*'Assumptions &amp; Drivers'!I14</f>
        <v>35457443950.77813</v>
      </c>
    </row>
    <row r="29" spans="2:12" ht="15.75" customHeight="1" x14ac:dyDescent="0.35">
      <c r="B29" s="10" t="s">
        <v>60</v>
      </c>
      <c r="C29" s="39">
        <v>0</v>
      </c>
      <c r="D29" s="39">
        <v>0</v>
      </c>
      <c r="E29" s="39">
        <v>0</v>
      </c>
      <c r="F29" s="39">
        <v>0</v>
      </c>
      <c r="G29" s="180">
        <v>0</v>
      </c>
      <c r="H29" s="300">
        <v>0</v>
      </c>
      <c r="I29" s="39">
        <v>0</v>
      </c>
      <c r="J29" s="39">
        <v>0</v>
      </c>
      <c r="K29" s="39">
        <v>0</v>
      </c>
      <c r="L29" s="39">
        <v>0</v>
      </c>
    </row>
    <row r="30" spans="2:12" ht="15.75" customHeight="1" x14ac:dyDescent="0.35">
      <c r="B30" s="8" t="s">
        <v>61</v>
      </c>
      <c r="C30" s="40">
        <v>0</v>
      </c>
      <c r="D30" s="40">
        <v>0</v>
      </c>
      <c r="E30" s="40">
        <v>0</v>
      </c>
      <c r="F30" s="40">
        <v>0</v>
      </c>
      <c r="G30" s="182">
        <v>0</v>
      </c>
      <c r="H30" s="302">
        <v>0</v>
      </c>
      <c r="I30" s="40">
        <v>0</v>
      </c>
      <c r="J30" s="40">
        <v>0</v>
      </c>
      <c r="K30" s="40">
        <v>0</v>
      </c>
      <c r="L30" s="40">
        <v>0</v>
      </c>
    </row>
    <row r="31" spans="2:12" ht="15.75" customHeight="1" x14ac:dyDescent="0.35">
      <c r="B31" s="10" t="s">
        <v>62</v>
      </c>
      <c r="C31" s="39">
        <v>0</v>
      </c>
      <c r="D31" s="39">
        <v>0</v>
      </c>
      <c r="E31" s="39">
        <v>0</v>
      </c>
      <c r="F31" s="39">
        <v>0</v>
      </c>
      <c r="G31" s="180">
        <v>0</v>
      </c>
      <c r="H31" s="300">
        <v>0</v>
      </c>
      <c r="I31" s="39">
        <v>0</v>
      </c>
      <c r="J31" s="39">
        <v>0</v>
      </c>
      <c r="K31" s="39">
        <v>0</v>
      </c>
      <c r="L31" s="39">
        <v>0</v>
      </c>
    </row>
    <row r="32" spans="2:12" ht="16.5" customHeight="1" thickBot="1" x14ac:dyDescent="0.4">
      <c r="B32" s="9" t="s">
        <v>63</v>
      </c>
      <c r="C32" s="42">
        <f>SUM(C25:C31)</f>
        <v>43887000000</v>
      </c>
      <c r="D32" s="42">
        <f>SUM(D25:D31)</f>
        <v>51345000000</v>
      </c>
      <c r="E32" s="42">
        <f>SUM(E25:E31)</f>
        <v>54847000000</v>
      </c>
      <c r="F32" s="42">
        <f>SUM(F25:F31)</f>
        <v>57467000000</v>
      </c>
      <c r="G32" s="181">
        <f>SUM(G25:G31)</f>
        <v>62151000000</v>
      </c>
      <c r="H32" s="301">
        <f t="shared" ref="H32:L32" si="10">SUM(H25:H31)</f>
        <v>66087597419.217751</v>
      </c>
      <c r="I32" s="42">
        <f t="shared" si="10"/>
        <v>69594545141.368622</v>
      </c>
      <c r="J32" s="42">
        <f t="shared" si="10"/>
        <v>73388188181.057404</v>
      </c>
      <c r="K32" s="42">
        <f t="shared" si="10"/>
        <v>77498558288.713287</v>
      </c>
      <c r="L32" s="42">
        <f t="shared" si="10"/>
        <v>81959009787.864197</v>
      </c>
    </row>
    <row r="33" spans="2:12" ht="6" customHeight="1" x14ac:dyDescent="0.35">
      <c r="B33" s="5"/>
      <c r="C33" s="43"/>
      <c r="D33" s="43"/>
      <c r="E33" s="43"/>
      <c r="F33" s="43"/>
      <c r="G33" s="183"/>
    </row>
    <row r="34" spans="2:12" ht="16.5" customHeight="1" thickBot="1" x14ac:dyDescent="0.4">
      <c r="B34" s="9" t="s">
        <v>64</v>
      </c>
      <c r="C34" s="42">
        <f t="shared" ref="C34:L34" si="11">C21-C32</f>
        <v>108949000000</v>
      </c>
      <c r="D34" s="42">
        <f t="shared" si="11"/>
        <v>119437000000</v>
      </c>
      <c r="E34" s="42">
        <f t="shared" si="11"/>
        <v>114301000000</v>
      </c>
      <c r="F34" s="42">
        <f t="shared" si="11"/>
        <v>123216000000</v>
      </c>
      <c r="G34" s="181">
        <f t="shared" si="11"/>
        <v>133050000000</v>
      </c>
      <c r="H34" s="301">
        <f t="shared" si="11"/>
        <v>145013447701.68985</v>
      </c>
      <c r="I34" s="42">
        <f t="shared" si="11"/>
        <v>161370303458.09366</v>
      </c>
      <c r="J34" s="42">
        <f t="shared" si="11"/>
        <v>179677154531.41931</v>
      </c>
      <c r="K34" s="42">
        <f t="shared" si="11"/>
        <v>191874898066.69025</v>
      </c>
      <c r="L34" s="42">
        <f t="shared" si="11"/>
        <v>211262987528.36255</v>
      </c>
    </row>
    <row r="35" spans="2:12" ht="13.5" customHeight="1" x14ac:dyDescent="0.35">
      <c r="B35" s="305" t="s">
        <v>641</v>
      </c>
      <c r="C35" s="168">
        <f>C34/C10</f>
        <v>0.29782377527561593</v>
      </c>
      <c r="D35" s="168">
        <f t="shared" ref="D35:L35" si="12">D34/D10</f>
        <v>0.30288744395528594</v>
      </c>
      <c r="E35" s="168">
        <f t="shared" si="12"/>
        <v>0.29821412265024722</v>
      </c>
      <c r="F35" s="168">
        <f t="shared" si="12"/>
        <v>0.31510222870075566</v>
      </c>
      <c r="G35" s="306">
        <f t="shared" si="12"/>
        <v>0.31970799762591884</v>
      </c>
      <c r="H35" s="168">
        <f t="shared" si="12"/>
        <v>0.32694491177354623</v>
      </c>
      <c r="I35" s="168">
        <f t="shared" si="12"/>
        <v>0.34085192395688491</v>
      </c>
      <c r="J35" s="168">
        <f t="shared" si="12"/>
        <v>0.35500518615856119</v>
      </c>
      <c r="K35" s="168">
        <f t="shared" si="12"/>
        <v>0.35404672073148391</v>
      </c>
      <c r="L35" s="168">
        <f t="shared" si="12"/>
        <v>0.36345096553264955</v>
      </c>
    </row>
    <row r="36" spans="2:12" ht="6" customHeight="1" x14ac:dyDescent="0.35">
      <c r="B36" s="5"/>
      <c r="C36" s="43"/>
      <c r="D36" s="43"/>
      <c r="E36" s="43"/>
      <c r="F36" s="43"/>
      <c r="G36" s="183"/>
    </row>
    <row r="37" spans="2:12" ht="18" customHeight="1" x14ac:dyDescent="0.35">
      <c r="B37" s="375" t="s">
        <v>65</v>
      </c>
      <c r="C37" s="376"/>
      <c r="D37" s="376"/>
      <c r="E37" s="376"/>
      <c r="F37" s="376"/>
      <c r="G37" s="377"/>
      <c r="H37" s="378" t="str">
        <f>"PROJECTED " &amp; B37</f>
        <v>PROJECTED NON-OPERATING ITEMS</v>
      </c>
      <c r="I37" s="378"/>
      <c r="J37" s="378"/>
      <c r="K37" s="378"/>
      <c r="L37" s="378"/>
    </row>
    <row r="38" spans="2:12" ht="15.75" customHeight="1" x14ac:dyDescent="0.35">
      <c r="B38" s="10" t="s">
        <v>66</v>
      </c>
      <c r="C38" s="149">
        <f>'Raw (Income Statement)'!J22</f>
        <v>-2645000000</v>
      </c>
      <c r="D38" s="149">
        <f>'Raw (Income Statement)'!K22</f>
        <v>-2931000000</v>
      </c>
      <c r="E38" s="149">
        <f>'Raw (Income Statement)'!L22</f>
        <v>-3933000000</v>
      </c>
      <c r="F38" s="149" t="str">
        <f>'Raw (Income Statement)'!M22</f>
        <v/>
      </c>
      <c r="G38" s="178" t="str">
        <f>'Raw (Income Statement)'!N22</f>
        <v/>
      </c>
      <c r="H38" s="300">
        <f>-78328*'Assumptions &amp; Drivers'!E292</f>
        <v>0</v>
      </c>
      <c r="I38" s="39">
        <f>-78328*'Assumptions &amp; Drivers'!F292</f>
        <v>0</v>
      </c>
      <c r="J38" s="39">
        <f>-78328*'Assumptions &amp; Drivers'!G292</f>
        <v>0</v>
      </c>
      <c r="K38" s="39">
        <f>-78328*'Assumptions &amp; Drivers'!H292</f>
        <v>0</v>
      </c>
      <c r="L38" s="39">
        <f>-78328*'Assumptions &amp; Drivers'!I292</f>
        <v>0</v>
      </c>
    </row>
    <row r="39" spans="2:12" ht="15.75" customHeight="1" x14ac:dyDescent="0.35">
      <c r="B39" s="8" t="s">
        <v>67</v>
      </c>
      <c r="C39" s="150">
        <f>'Raw (Income Statement)'!J23</f>
        <v>2843000000</v>
      </c>
      <c r="D39" s="150">
        <f>'Raw (Income Statement)'!K23</f>
        <v>2825000000</v>
      </c>
      <c r="E39" s="150">
        <f>'Raw (Income Statement)'!L23</f>
        <v>3750000000</v>
      </c>
      <c r="F39" s="150" t="str">
        <f>'Raw (Income Statement)'!M23</f>
        <v/>
      </c>
      <c r="G39" s="179" t="str">
        <f>'Raw (Income Statement)'!N23</f>
        <v/>
      </c>
      <c r="H39" s="302">
        <f>-78328*'Assumptions &amp; Drivers'!E293</f>
        <v>0</v>
      </c>
      <c r="I39" s="40">
        <f>-78328*'Assumptions &amp; Drivers'!F293</f>
        <v>0</v>
      </c>
      <c r="J39" s="40">
        <f>-78328*'Assumptions &amp; Drivers'!G293</f>
        <v>0</v>
      </c>
      <c r="K39" s="40">
        <f>-78328*'Assumptions &amp; Drivers'!H293</f>
        <v>0</v>
      </c>
      <c r="L39" s="40">
        <f>-78328*'Assumptions &amp; Drivers'!I293</f>
        <v>0</v>
      </c>
    </row>
    <row r="40" spans="2:12" ht="15.75" customHeight="1" x14ac:dyDescent="0.35">
      <c r="B40" s="10" t="s">
        <v>68</v>
      </c>
      <c r="C40" s="39">
        <v>0</v>
      </c>
      <c r="D40" s="39">
        <v>0</v>
      </c>
      <c r="E40" s="39">
        <v>0</v>
      </c>
      <c r="F40" s="39">
        <v>0</v>
      </c>
      <c r="G40" s="180">
        <v>0</v>
      </c>
      <c r="H40" s="300">
        <v>0</v>
      </c>
      <c r="I40" s="39">
        <v>0</v>
      </c>
      <c r="J40" s="39">
        <v>0</v>
      </c>
      <c r="K40" s="39">
        <v>0</v>
      </c>
      <c r="L40" s="39">
        <v>0</v>
      </c>
    </row>
    <row r="41" spans="2:12" ht="15.75" customHeight="1" x14ac:dyDescent="0.35">
      <c r="B41" s="8" t="s">
        <v>69</v>
      </c>
      <c r="C41" s="150">
        <f>'Raw (Income Statement)'!J19</f>
        <v>60000000</v>
      </c>
      <c r="D41" s="150">
        <f>'Raw (Income Statement)'!K19</f>
        <v>-228000000</v>
      </c>
      <c r="E41" s="150">
        <f>'Raw (Income Statement)'!L19</f>
        <v>-382000000</v>
      </c>
      <c r="F41" s="150">
        <f>'Raw (Income Statement)'!M19</f>
        <v>269000000</v>
      </c>
      <c r="G41" s="179">
        <f>'Raw (Income Statement)'!N19</f>
        <v>-321000000</v>
      </c>
      <c r="H41" s="302">
        <v>0</v>
      </c>
      <c r="I41" s="40">
        <v>0</v>
      </c>
      <c r="J41" s="40">
        <v>0</v>
      </c>
      <c r="K41" s="40">
        <v>0</v>
      </c>
      <c r="L41" s="40">
        <v>0</v>
      </c>
    </row>
    <row r="42" spans="2:12" ht="16.5" customHeight="1" thickBot="1" x14ac:dyDescent="0.4">
      <c r="B42" s="9" t="s">
        <v>70</v>
      </c>
      <c r="C42" s="42">
        <f>SUM(C38:C41)</f>
        <v>258000000</v>
      </c>
      <c r="D42" s="42">
        <f>SUM(D38:D41)</f>
        <v>-334000000</v>
      </c>
      <c r="E42" s="42">
        <f>SUM(E38:E41)</f>
        <v>-565000000</v>
      </c>
      <c r="F42" s="42">
        <f>SUM(F38:F41)</f>
        <v>269000000</v>
      </c>
      <c r="G42" s="181">
        <f>SUM(G38:G41)</f>
        <v>-321000000</v>
      </c>
      <c r="H42" s="301">
        <f t="shared" ref="H42:L42" si="13">SUM(H38:H41)</f>
        <v>0</v>
      </c>
      <c r="I42" s="42">
        <f t="shared" si="13"/>
        <v>0</v>
      </c>
      <c r="J42" s="42">
        <f t="shared" si="13"/>
        <v>0</v>
      </c>
      <c r="K42" s="42">
        <f t="shared" si="13"/>
        <v>0</v>
      </c>
      <c r="L42" s="42">
        <f t="shared" si="13"/>
        <v>0</v>
      </c>
    </row>
    <row r="43" spans="2:12" ht="6" customHeight="1" x14ac:dyDescent="0.35">
      <c r="B43" s="5"/>
      <c r="C43" s="43"/>
      <c r="D43" s="43"/>
      <c r="E43" s="43"/>
      <c r="F43" s="43"/>
      <c r="G43" s="183"/>
    </row>
    <row r="44" spans="2:12" ht="16.5" customHeight="1" thickBot="1" x14ac:dyDescent="0.4">
      <c r="B44" s="9" t="s">
        <v>71</v>
      </c>
      <c r="C44" s="42">
        <f t="shared" ref="C44:L44" si="14">C34+C42</f>
        <v>109207000000</v>
      </c>
      <c r="D44" s="42">
        <f t="shared" si="14"/>
        <v>119103000000</v>
      </c>
      <c r="E44" s="42">
        <f t="shared" si="14"/>
        <v>113736000000</v>
      </c>
      <c r="F44" s="42">
        <f t="shared" si="14"/>
        <v>123485000000</v>
      </c>
      <c r="G44" s="181">
        <f t="shared" si="14"/>
        <v>132729000000</v>
      </c>
      <c r="H44" s="301">
        <f t="shared" si="14"/>
        <v>145013447701.68985</v>
      </c>
      <c r="I44" s="42">
        <f t="shared" si="14"/>
        <v>161370303458.09366</v>
      </c>
      <c r="J44" s="42">
        <f t="shared" si="14"/>
        <v>179677154531.41931</v>
      </c>
      <c r="K44" s="42">
        <f t="shared" si="14"/>
        <v>191874898066.69025</v>
      </c>
      <c r="L44" s="42">
        <f t="shared" si="14"/>
        <v>211262987528.36255</v>
      </c>
    </row>
    <row r="45" spans="2:12" ht="6" customHeight="1" x14ac:dyDescent="0.35">
      <c r="B45" s="5"/>
      <c r="C45" s="43"/>
      <c r="D45" s="43"/>
      <c r="E45" s="43"/>
      <c r="F45" s="43"/>
      <c r="G45" s="183"/>
    </row>
    <row r="46" spans="2:12" ht="18" customHeight="1" x14ac:dyDescent="0.35">
      <c r="B46" s="375" t="s">
        <v>72</v>
      </c>
      <c r="C46" s="376"/>
      <c r="D46" s="376"/>
      <c r="E46" s="376"/>
      <c r="F46" s="376"/>
      <c r="G46" s="377"/>
      <c r="H46" s="378" t="str">
        <f>"PROJECTED " &amp; B46</f>
        <v>PROJECTED INCOME TAXES</v>
      </c>
      <c r="I46" s="378"/>
      <c r="J46" s="378"/>
      <c r="K46" s="378"/>
      <c r="L46" s="378"/>
    </row>
    <row r="47" spans="2:12" ht="15.75" customHeight="1" x14ac:dyDescent="0.35">
      <c r="B47" s="8" t="s">
        <v>73</v>
      </c>
      <c r="C47" s="150">
        <f>ABS('Raw (Income Statement)'!J25)</f>
        <v>14527000000</v>
      </c>
      <c r="D47" s="150">
        <f>ABS('Raw (Income Statement)'!K25)</f>
        <v>19300000000</v>
      </c>
      <c r="E47" s="150">
        <f>ABS('Raw (Income Statement)'!L25)</f>
        <v>16741000000</v>
      </c>
      <c r="F47" s="150">
        <f>ABS('Raw (Income Statement)'!M25)</f>
        <v>29749000000</v>
      </c>
      <c r="G47" s="179">
        <f>ABS('Raw (Income Statement)'!N25)</f>
        <v>20719000000</v>
      </c>
      <c r="H47" s="299">
        <f>H44*'Assumptions &amp; Drivers'!E27</f>
        <v>30452824017.354866</v>
      </c>
      <c r="I47" s="150">
        <f>I44*'Assumptions &amp; Drivers'!F27</f>
        <v>33887763726.199669</v>
      </c>
      <c r="J47" s="150">
        <f>J44*'Assumptions &amp; Drivers'!G27</f>
        <v>37732202451.598053</v>
      </c>
      <c r="K47" s="150">
        <f>K44*'Assumptions &amp; Drivers'!H27</f>
        <v>40293728594.004951</v>
      </c>
      <c r="L47" s="150">
        <f>L44*'Assumptions &amp; Drivers'!I27</f>
        <v>44365227380.956131</v>
      </c>
    </row>
    <row r="48" spans="2:12" ht="6" customHeight="1" x14ac:dyDescent="0.35">
      <c r="B48" s="5"/>
      <c r="C48" s="43"/>
      <c r="D48" s="43"/>
      <c r="E48" s="43"/>
      <c r="F48" s="43"/>
      <c r="G48" s="183"/>
    </row>
    <row r="49" spans="2:12" ht="16.5" customHeight="1" thickBot="1" x14ac:dyDescent="0.4">
      <c r="B49" s="9" t="s">
        <v>74</v>
      </c>
      <c r="C49" s="42">
        <f t="shared" ref="C49:L49" si="15">C44-C47</f>
        <v>94680000000</v>
      </c>
      <c r="D49" s="42">
        <f t="shared" si="15"/>
        <v>99803000000</v>
      </c>
      <c r="E49" s="42">
        <f t="shared" si="15"/>
        <v>96995000000</v>
      </c>
      <c r="F49" s="42">
        <f t="shared" si="15"/>
        <v>93736000000</v>
      </c>
      <c r="G49" s="181">
        <f t="shared" si="15"/>
        <v>112010000000</v>
      </c>
      <c r="H49" s="301">
        <f t="shared" si="15"/>
        <v>114560623684.33499</v>
      </c>
      <c r="I49" s="42">
        <f t="shared" si="15"/>
        <v>127482539731.89398</v>
      </c>
      <c r="J49" s="42">
        <f t="shared" si="15"/>
        <v>141944952079.82126</v>
      </c>
      <c r="K49" s="42">
        <f t="shared" si="15"/>
        <v>151581169472.6853</v>
      </c>
      <c r="L49" s="42">
        <f t="shared" si="15"/>
        <v>166897760147.40643</v>
      </c>
    </row>
    <row r="50" spans="2:12" ht="13.5" customHeight="1" x14ac:dyDescent="0.35">
      <c r="B50" s="305" t="s">
        <v>510</v>
      </c>
      <c r="C50" s="168">
        <f>C49/C10</f>
        <v>0.25881793355694238</v>
      </c>
      <c r="D50" s="168">
        <f t="shared" ref="D50:L50" si="16">D49/D10</f>
        <v>0.25309640705199732</v>
      </c>
      <c r="E50" s="168">
        <f t="shared" si="16"/>
        <v>0.25306234264320282</v>
      </c>
      <c r="F50" s="168">
        <f t="shared" si="16"/>
        <v>0.23971255769943867</v>
      </c>
      <c r="G50" s="306">
        <f t="shared" si="16"/>
        <v>0.26915064121818238</v>
      </c>
      <c r="H50" s="168">
        <f t="shared" si="16"/>
        <v>0.25828648030110157</v>
      </c>
      <c r="I50" s="168">
        <f t="shared" si="16"/>
        <v>0.26927301992593905</v>
      </c>
      <c r="J50" s="168">
        <f t="shared" si="16"/>
        <v>0.28045409706526336</v>
      </c>
      <c r="K50" s="168">
        <f t="shared" si="16"/>
        <v>0.27969690937787234</v>
      </c>
      <c r="L50" s="168">
        <f t="shared" si="16"/>
        <v>0.28712626277079317</v>
      </c>
    </row>
    <row r="51" spans="2:12" ht="6" customHeight="1" x14ac:dyDescent="0.35">
      <c r="B51" s="5"/>
      <c r="C51" s="43"/>
      <c r="D51" s="43"/>
      <c r="E51" s="43"/>
      <c r="F51" s="43"/>
      <c r="G51" s="183"/>
    </row>
    <row r="52" spans="2:12" ht="18" customHeight="1" x14ac:dyDescent="0.35">
      <c r="B52" s="375" t="s">
        <v>75</v>
      </c>
      <c r="C52" s="376"/>
      <c r="D52" s="376"/>
      <c r="E52" s="376"/>
      <c r="F52" s="376"/>
      <c r="G52" s="377"/>
      <c r="H52" s="378" t="str">
        <f>"PROJECTED " &amp; B52</f>
        <v>PROJECTED SUPPLEMENTAL DATA</v>
      </c>
      <c r="I52" s="378"/>
      <c r="J52" s="378"/>
      <c r="K52" s="378"/>
      <c r="L52" s="378"/>
    </row>
    <row r="53" spans="2:12" ht="15.75" customHeight="1" x14ac:dyDescent="0.35">
      <c r="B53" s="10" t="s">
        <v>535</v>
      </c>
      <c r="C53" s="87">
        <f>'Raw (Income Statement)'!J43</f>
        <v>16864919000</v>
      </c>
      <c r="D53" s="87">
        <f>'Raw (Income Statement)'!K43</f>
        <v>16325819000</v>
      </c>
      <c r="E53" s="87">
        <f>'Raw (Income Statement)'!L43</f>
        <v>15812547000</v>
      </c>
      <c r="F53" s="87">
        <f>'Raw (Income Statement)'!M43</f>
        <v>15408095000</v>
      </c>
      <c r="G53" s="185">
        <f>'Raw (Income Statement)'!N43</f>
        <v>15004697000</v>
      </c>
      <c r="H53" s="303">
        <f>G53-'Assumptions &amp; Drivers'!E49+'Assumptions &amp; Drivers'!E50</f>
        <v>14554697000</v>
      </c>
      <c r="I53" s="87">
        <f>H53-'Assumptions &amp; Drivers'!F49+'Assumptions &amp; Drivers'!F50</f>
        <v>14149697000</v>
      </c>
      <c r="J53" s="87">
        <f>I53-'Assumptions &amp; Drivers'!G49+'Assumptions &amp; Drivers'!G50</f>
        <v>13779697000</v>
      </c>
      <c r="K53" s="87">
        <f>J53-'Assumptions &amp; Drivers'!H49+'Assumptions &amp; Drivers'!H50</f>
        <v>13444697000</v>
      </c>
      <c r="L53" s="194">
        <f>K53-'Assumptions &amp; Drivers'!I49+'Assumptions &amp; Drivers'!I50</f>
        <v>13134697000</v>
      </c>
    </row>
    <row r="54" spans="2:12" ht="16.5" customHeight="1" thickBot="1" x14ac:dyDescent="0.4">
      <c r="B54" s="11" t="s">
        <v>78</v>
      </c>
      <c r="C54" s="55">
        <f t="shared" ref="C54:L54" si="17">IFERROR(C49/C53,"-")</f>
        <v>5.6140204408927197</v>
      </c>
      <c r="D54" s="55">
        <f t="shared" si="17"/>
        <v>6.1132002014722815</v>
      </c>
      <c r="E54" s="55">
        <f t="shared" si="17"/>
        <v>6.1340529138031972</v>
      </c>
      <c r="F54" s="55">
        <f t="shared" si="17"/>
        <v>6.0835554297919376</v>
      </c>
      <c r="G54" s="186">
        <f t="shared" si="17"/>
        <v>7.4649957943169394</v>
      </c>
      <c r="H54" s="304">
        <f t="shared" si="17"/>
        <v>7.871041470965352</v>
      </c>
      <c r="I54" s="55">
        <f t="shared" si="17"/>
        <v>9.0095596910586835</v>
      </c>
      <c r="J54" s="55">
        <f t="shared" si="17"/>
        <v>10.301021283691599</v>
      </c>
      <c r="K54" s="55">
        <f t="shared" si="17"/>
        <v>11.274420648727547</v>
      </c>
      <c r="L54" s="55">
        <f t="shared" si="17"/>
        <v>12.706631919061889</v>
      </c>
    </row>
    <row r="55" spans="2:12" ht="13.5" customHeight="1" x14ac:dyDescent="0.35">
      <c r="B55" s="8" t="s">
        <v>76</v>
      </c>
      <c r="C55" s="54">
        <f>C29</f>
        <v>0</v>
      </c>
      <c r="D55" s="54">
        <f>D29</f>
        <v>0</v>
      </c>
      <c r="E55" s="54">
        <f>E29</f>
        <v>0</v>
      </c>
      <c r="F55" s="54">
        <f>F29</f>
        <v>0</v>
      </c>
      <c r="G55" s="184">
        <f>G29</f>
        <v>0</v>
      </c>
      <c r="H55" s="299">
        <f>H10*'Assumptions &amp; Drivers'!E17</f>
        <v>12419145823.745617</v>
      </c>
      <c r="I55" s="150">
        <f>I10*'Assumptions &amp; Drivers'!F17</f>
        <v>13256103836.451164</v>
      </c>
      <c r="J55" s="150">
        <f>J10*'Assumptions &amp; Drivers'!G17</f>
        <v>13665386764.748617</v>
      </c>
      <c r="K55" s="150">
        <f>K10*'Assumptions &amp; Drivers'!H17</f>
        <v>14632594921.645166</v>
      </c>
      <c r="L55" s="150">
        <f>L10*'Assumptions &amp; Drivers'!I17</f>
        <v>15694278470.01655</v>
      </c>
    </row>
    <row r="56" spans="2:12" ht="15.75" customHeight="1" thickBot="1" x14ac:dyDescent="0.4">
      <c r="B56" s="9" t="s">
        <v>77</v>
      </c>
      <c r="C56" s="42">
        <f t="shared" ref="C56:L56" si="18">C34+C55</f>
        <v>108949000000</v>
      </c>
      <c r="D56" s="42">
        <f t="shared" si="18"/>
        <v>119437000000</v>
      </c>
      <c r="E56" s="42">
        <f t="shared" si="18"/>
        <v>114301000000</v>
      </c>
      <c r="F56" s="42">
        <f t="shared" si="18"/>
        <v>123216000000</v>
      </c>
      <c r="G56" s="181">
        <f t="shared" si="18"/>
        <v>133050000000</v>
      </c>
      <c r="H56" s="301">
        <f t="shared" si="18"/>
        <v>157432593525.43546</v>
      </c>
      <c r="I56" s="42">
        <f t="shared" si="18"/>
        <v>174626407294.54483</v>
      </c>
      <c r="J56" s="42">
        <f t="shared" si="18"/>
        <v>193342541296.16794</v>
      </c>
      <c r="K56" s="42">
        <f t="shared" si="18"/>
        <v>206507492988.33542</v>
      </c>
      <c r="L56" s="42">
        <f t="shared" si="18"/>
        <v>226957265998.37909</v>
      </c>
    </row>
    <row r="57" spans="2:12" ht="16.5" customHeight="1" x14ac:dyDescent="0.35">
      <c r="B57" s="305" t="s">
        <v>509</v>
      </c>
      <c r="C57" s="168">
        <f>C56/C10</f>
        <v>0.29782377527561593</v>
      </c>
      <c r="D57" s="168">
        <f t="shared" ref="D57:L57" si="19">D56/D10</f>
        <v>0.30288744395528594</v>
      </c>
      <c r="E57" s="168">
        <f t="shared" si="19"/>
        <v>0.29821412265024722</v>
      </c>
      <c r="F57" s="168">
        <f t="shared" si="19"/>
        <v>0.31510222870075566</v>
      </c>
      <c r="G57" s="306">
        <f t="shared" si="19"/>
        <v>0.31970799762591884</v>
      </c>
      <c r="H57" s="168">
        <f t="shared" si="19"/>
        <v>0.3549449117735462</v>
      </c>
      <c r="I57" s="168">
        <f t="shared" si="19"/>
        <v>0.36885192395688493</v>
      </c>
      <c r="J57" s="168">
        <f t="shared" si="19"/>
        <v>0.38200518615856122</v>
      </c>
      <c r="K57" s="168">
        <f t="shared" si="19"/>
        <v>0.38104672073148393</v>
      </c>
      <c r="L57" s="168">
        <f t="shared" si="19"/>
        <v>0.39045096553264952</v>
      </c>
    </row>
    <row r="58" spans="2:12" x14ac:dyDescent="0.35">
      <c r="G58" s="175"/>
    </row>
    <row r="59" spans="2:12" x14ac:dyDescent="0.35">
      <c r="B59" s="10" t="s">
        <v>232</v>
      </c>
      <c r="C59" s="39">
        <v>95249000000</v>
      </c>
      <c r="D59" s="39">
        <v>88531000000</v>
      </c>
      <c r="E59" s="39">
        <v>96652000000</v>
      </c>
      <c r="F59" s="39">
        <v>98016000000</v>
      </c>
      <c r="G59" s="180">
        <v>113611000000</v>
      </c>
    </row>
    <row r="60" spans="2:12" x14ac:dyDescent="0.35">
      <c r="B60" s="89" t="s">
        <v>290</v>
      </c>
      <c r="C60" s="141" t="b">
        <f>ABS(C59-C49)/MIN(C49,C59)&lt;0.05</f>
        <v>1</v>
      </c>
      <c r="D60" s="142" t="b">
        <f>ABS(D59-D49)/MIN(D49,D59)&lt;0.05</f>
        <v>0</v>
      </c>
      <c r="E60" s="142" t="b">
        <f>ABS(E59-E49)/MIN(E49,E59)&lt;0.05</f>
        <v>1</v>
      </c>
      <c r="F60" s="142" t="b">
        <f>ABS(F59-F49)/MIN(F49,F59)&lt;0.05</f>
        <v>1</v>
      </c>
      <c r="G60" s="187" t="b">
        <f>ABS(G59-G49)/MIN(G49,G59)&lt;0.05</f>
        <v>1</v>
      </c>
    </row>
    <row r="61" spans="2:12" x14ac:dyDescent="0.35">
      <c r="G61" s="188" t="b">
        <f>AND(C60:G60)</f>
        <v>0</v>
      </c>
    </row>
  </sheetData>
  <mergeCells count="13">
    <mergeCell ref="B1:G1"/>
    <mergeCell ref="B2:G2"/>
    <mergeCell ref="B13:G13"/>
    <mergeCell ref="B24:G24"/>
    <mergeCell ref="B37:G37"/>
    <mergeCell ref="B46:G46"/>
    <mergeCell ref="B52:G52"/>
    <mergeCell ref="H6:L6"/>
    <mergeCell ref="H13:L13"/>
    <mergeCell ref="H24:L24"/>
    <mergeCell ref="H37:L37"/>
    <mergeCell ref="H46:L46"/>
    <mergeCell ref="H52:L52"/>
  </mergeCells>
  <conditionalFormatting sqref="C60:G60 G61">
    <cfRule type="cellIs" dxfId="26" priority="3" operator="equal">
      <formula>TRUE</formula>
    </cfRule>
    <cfRule type="cellIs" dxfId="25" priority="4" operator="equal">
      <formula>FALSE</formula>
    </cfRule>
  </conditionalFormatting>
  <conditionalFormatting sqref="J1">
    <cfRule type="cellIs" dxfId="24" priority="1" operator="equal">
      <formula>TRUE</formula>
    </cfRule>
    <cfRule type="cellIs" dxfId="23" priority="2" operator="equal">
      <formula>FALSE</formula>
    </cfRule>
  </conditionalFormatting>
  <pageMargins left="0.5" right="0.5" top="0.75" bottom="0.75" header="0.511811023622047" footer="0.511811023622047"/>
  <pageSetup fitToHeight="0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FFC000"/>
    <pageSetUpPr fitToPage="1"/>
  </sheetPr>
  <dimension ref="A1:M53"/>
  <sheetViews>
    <sheetView showGridLines="0" zoomScaleNormal="100" workbookViewId="0">
      <pane xSplit="2" ySplit="4" topLeftCell="C5" activePane="bottomRight" state="frozen"/>
      <selection activeCell="C43" sqref="C43:G43"/>
      <selection pane="topRight" activeCell="C43" sqref="C43:G43"/>
      <selection pane="bottomLeft" activeCell="C43" sqref="C43:G43"/>
      <selection pane="bottomRight" activeCell="A5" sqref="A5"/>
    </sheetView>
  </sheetViews>
  <sheetFormatPr defaultColWidth="8.6328125" defaultRowHeight="14.5" x14ac:dyDescent="0.35"/>
  <cols>
    <col min="1" max="1" width="2" customWidth="1"/>
    <col min="2" max="2" width="61.36328125" bestFit="1" customWidth="1"/>
    <col min="3" max="12" width="14" customWidth="1"/>
  </cols>
  <sheetData>
    <row r="1" spans="1:12" ht="30" customHeight="1" x14ac:dyDescent="0.35">
      <c r="A1" s="1"/>
      <c r="B1" s="370" t="s">
        <v>0</v>
      </c>
      <c r="C1" s="370"/>
      <c r="D1" s="370"/>
      <c r="E1" s="370"/>
      <c r="F1" s="370"/>
      <c r="G1" s="381"/>
      <c r="I1" s="90" t="s">
        <v>223</v>
      </c>
      <c r="J1" s="91" t="b">
        <f>AND('Raw (CF Statement)'!P33,'Raw (CF Statement)'!P55)</f>
        <v>1</v>
      </c>
    </row>
    <row r="2" spans="1:12" ht="21.75" customHeight="1" x14ac:dyDescent="0.35">
      <c r="A2" s="2"/>
      <c r="B2" s="371" t="s">
        <v>174</v>
      </c>
      <c r="C2" s="371"/>
      <c r="D2" s="371"/>
      <c r="E2" s="371"/>
      <c r="F2" s="371"/>
      <c r="G2" s="382"/>
    </row>
    <row r="3" spans="1:12" ht="18" customHeight="1" x14ac:dyDescent="0.35">
      <c r="G3" s="267"/>
    </row>
    <row r="4" spans="1:12" ht="19.5" customHeight="1" x14ac:dyDescent="0.35">
      <c r="B4" s="268" t="s">
        <v>431</v>
      </c>
      <c r="C4" s="269" t="s">
        <v>2</v>
      </c>
      <c r="D4" s="269" t="s">
        <v>3</v>
      </c>
      <c r="E4" s="269" t="s">
        <v>4</v>
      </c>
      <c r="F4" s="269" t="s">
        <v>5</v>
      </c>
      <c r="G4" s="270" t="s">
        <v>173</v>
      </c>
      <c r="H4" s="190" t="str">
        <f>"FY"&amp;(MID(G4,3,4)+1)</f>
        <v>FY2026</v>
      </c>
      <c r="I4" s="191" t="str">
        <f t="shared" ref="I4:L4" si="0">"FY"&amp;(MID(H4,3,4)+1)</f>
        <v>FY2027</v>
      </c>
      <c r="J4" s="191" t="str">
        <f t="shared" si="0"/>
        <v>FY2028</v>
      </c>
      <c r="K4" s="191" t="str">
        <f t="shared" si="0"/>
        <v>FY2029</v>
      </c>
      <c r="L4" s="191" t="str">
        <f t="shared" si="0"/>
        <v>FY2030</v>
      </c>
    </row>
    <row r="5" spans="1:12" ht="7.5" customHeight="1" x14ac:dyDescent="0.35">
      <c r="B5" s="5"/>
      <c r="C5" s="5"/>
      <c r="D5" s="5"/>
      <c r="E5" s="5"/>
      <c r="F5" s="5"/>
      <c r="G5" s="271"/>
    </row>
    <row r="6" spans="1:12" ht="18" customHeight="1" x14ac:dyDescent="0.35">
      <c r="B6" s="266" t="s">
        <v>6</v>
      </c>
      <c r="C6" s="272"/>
      <c r="D6" s="272"/>
      <c r="E6" s="272"/>
      <c r="F6" s="272"/>
      <c r="G6" s="273"/>
      <c r="H6" s="378" t="str">
        <f>"PROJECTED " &amp; B6</f>
        <v>PROJECTED OPERATING ACTIVITIES</v>
      </c>
      <c r="I6" s="378"/>
      <c r="J6" s="378"/>
      <c r="K6" s="378"/>
      <c r="L6" s="378"/>
    </row>
    <row r="7" spans="1:12" ht="15.75" customHeight="1" x14ac:dyDescent="0.35">
      <c r="B7" s="274" t="s">
        <v>7</v>
      </c>
      <c r="C7" s="275">
        <f>'Raw (CF Statement)'!J6</f>
        <v>94680000000</v>
      </c>
      <c r="D7" s="275">
        <f>'Raw (CF Statement)'!K6</f>
        <v>99803000000</v>
      </c>
      <c r="E7" s="275">
        <f>'Raw (CF Statement)'!L6</f>
        <v>96995000000</v>
      </c>
      <c r="F7" s="275">
        <f>'Raw (CF Statement)'!M6</f>
        <v>93736000000</v>
      </c>
      <c r="G7" s="276">
        <f>'Raw (CF Statement)'!N6</f>
        <v>112010000000</v>
      </c>
      <c r="H7" s="307">
        <f>'Income Statement'!H49</f>
        <v>114560623684.33499</v>
      </c>
      <c r="I7" s="307">
        <f>'Income Statement'!I49</f>
        <v>127482539731.89398</v>
      </c>
      <c r="J7" s="307">
        <f>'Income Statement'!J49</f>
        <v>141944952079.82126</v>
      </c>
      <c r="K7" s="307">
        <f>'Income Statement'!K49</f>
        <v>151581169472.6853</v>
      </c>
      <c r="L7" s="307">
        <f>'Income Statement'!L49</f>
        <v>166897760147.40643</v>
      </c>
    </row>
    <row r="8" spans="1:12" ht="18" customHeight="1" x14ac:dyDescent="0.35">
      <c r="B8" s="277" t="s">
        <v>8</v>
      </c>
      <c r="C8" s="278"/>
      <c r="D8" s="278"/>
      <c r="E8" s="278"/>
      <c r="F8" s="278"/>
      <c r="G8" s="279"/>
    </row>
    <row r="9" spans="1:12" ht="15.75" customHeight="1" x14ac:dyDescent="0.35">
      <c r="B9" s="280" t="s">
        <v>9</v>
      </c>
      <c r="C9" s="281">
        <f>'Raw (CF Statement)'!J9</f>
        <v>11284000000</v>
      </c>
      <c r="D9" s="281">
        <f>'Raw (CF Statement)'!K9</f>
        <v>11104000000</v>
      </c>
      <c r="E9" s="281">
        <f>'Raw (CF Statement)'!L9</f>
        <v>11519000000</v>
      </c>
      <c r="F9" s="281">
        <f>'Raw (CF Statement)'!M9</f>
        <v>11445000000</v>
      </c>
      <c r="G9" s="282">
        <f>'Raw (CF Statement)'!N9</f>
        <v>11698000000</v>
      </c>
      <c r="H9" s="281">
        <f>'Income Statement'!H55</f>
        <v>12419145823.745617</v>
      </c>
      <c r="I9" s="281">
        <f>'Income Statement'!I55</f>
        <v>13256103836.451164</v>
      </c>
      <c r="J9" s="281">
        <f>'Income Statement'!J55</f>
        <v>13665386764.748617</v>
      </c>
      <c r="K9" s="281">
        <f>'Income Statement'!K55</f>
        <v>14632594921.645166</v>
      </c>
      <c r="L9" s="281">
        <f>'Income Statement'!L55</f>
        <v>15694278470.01655</v>
      </c>
    </row>
    <row r="10" spans="1:12" ht="15.75" customHeight="1" x14ac:dyDescent="0.35">
      <c r="B10" s="283" t="s">
        <v>10</v>
      </c>
      <c r="C10" s="275">
        <f>'Raw (CF Statement)'!J10</f>
        <v>7906000000</v>
      </c>
      <c r="D10" s="275">
        <f>'Raw (CF Statement)'!K10</f>
        <v>9038000000</v>
      </c>
      <c r="E10" s="275">
        <f>'Raw (CF Statement)'!L10</f>
        <v>10833000000</v>
      </c>
      <c r="F10" s="275">
        <f>'Raw (CF Statement)'!M10</f>
        <v>11688000000</v>
      </c>
      <c r="G10" s="276">
        <f>'Raw (CF Statement)'!N10</f>
        <v>12863000000</v>
      </c>
      <c r="H10" s="275">
        <f>'Income Statement'!H10*'Assumptions &amp; Drivers'!E19</f>
        <v>13749768590.575504</v>
      </c>
      <c r="I10" s="275">
        <f>'Income Statement'!I10*'Assumptions &amp; Drivers'!F19</f>
        <v>14676400676.070932</v>
      </c>
      <c r="J10" s="275">
        <f>'Income Statement'!J10*'Assumptions &amp; Drivers'!G19</f>
        <v>15183763071.942909</v>
      </c>
      <c r="K10" s="275">
        <f>'Income Statement'!K10*'Assumptions &amp; Drivers'!H19</f>
        <v>16258438801.827963</v>
      </c>
      <c r="L10" s="275">
        <f>'Income Statement'!L10*'Assumptions &amp; Drivers'!I19</f>
        <v>16856817615.943703</v>
      </c>
    </row>
    <row r="11" spans="1:12" ht="15.75" customHeight="1" x14ac:dyDescent="0.35">
      <c r="B11" s="280" t="s">
        <v>11</v>
      </c>
      <c r="C11" s="281">
        <f>'Raw (CF Statement)'!J12</f>
        <v>-4774000000</v>
      </c>
      <c r="D11" s="281">
        <f>'Raw (CF Statement)'!K12</f>
        <v>895000000</v>
      </c>
      <c r="E11" s="281" t="str">
        <f>'Raw (CF Statement)'!L12</f>
        <v/>
      </c>
      <c r="F11" s="281" t="str">
        <f>'Raw (CF Statement)'!M12</f>
        <v/>
      </c>
      <c r="G11" s="282" t="str">
        <f>'Raw (CF Statement)'!N12</f>
        <v/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</row>
    <row r="12" spans="1:12" ht="15.75" customHeight="1" x14ac:dyDescent="0.35">
      <c r="B12" s="283" t="s">
        <v>12</v>
      </c>
      <c r="C12" s="284">
        <v>0</v>
      </c>
      <c r="D12" s="284">
        <v>0</v>
      </c>
      <c r="E12" s="284">
        <v>0</v>
      </c>
      <c r="F12" s="284">
        <v>0</v>
      </c>
      <c r="G12" s="285">
        <v>0</v>
      </c>
      <c r="H12" s="284">
        <v>0</v>
      </c>
      <c r="I12" s="284">
        <v>0</v>
      </c>
      <c r="J12" s="284">
        <v>0</v>
      </c>
      <c r="K12" s="284">
        <v>0</v>
      </c>
      <c r="L12" s="284">
        <v>0</v>
      </c>
    </row>
    <row r="13" spans="1:12" ht="15.75" customHeight="1" x14ac:dyDescent="0.35">
      <c r="B13" s="280" t="s">
        <v>13</v>
      </c>
      <c r="C13" s="281">
        <f>'Raw (CF Statement)'!J11</f>
        <v>-147000000</v>
      </c>
      <c r="D13" s="281">
        <f>'Raw (CF Statement)'!K11</f>
        <v>111000000</v>
      </c>
      <c r="E13" s="281">
        <f>'Raw (CF Statement)'!L11</f>
        <v>-2227000000</v>
      </c>
      <c r="F13" s="281">
        <f>'Raw (CF Statement)'!M11</f>
        <v>-2266000000</v>
      </c>
      <c r="G13" s="282">
        <f>'Raw (CF Statement)'!N11</f>
        <v>-89000000</v>
      </c>
      <c r="H13" s="286">
        <v>0</v>
      </c>
      <c r="I13" s="286">
        <v>0</v>
      </c>
      <c r="J13" s="286">
        <v>0</v>
      </c>
      <c r="K13" s="286">
        <v>0</v>
      </c>
      <c r="L13" s="286">
        <v>0</v>
      </c>
    </row>
    <row r="14" spans="1:12" ht="18" customHeight="1" x14ac:dyDescent="0.35">
      <c r="B14" s="277" t="s">
        <v>14</v>
      </c>
      <c r="C14" s="278"/>
      <c r="D14" s="278"/>
      <c r="E14" s="278"/>
      <c r="F14" s="278"/>
      <c r="G14" s="279"/>
    </row>
    <row r="15" spans="1:12" ht="15.75" customHeight="1" x14ac:dyDescent="0.35">
      <c r="B15" s="280" t="s">
        <v>291</v>
      </c>
      <c r="C15" s="281">
        <f>'Raw (CF Statement)'!J15</f>
        <v>-14028000000</v>
      </c>
      <c r="D15" s="281">
        <f>'Raw (CF Statement)'!K15</f>
        <v>-9343000000</v>
      </c>
      <c r="E15" s="281">
        <f>'Raw (CF Statement)'!L15</f>
        <v>-417000000</v>
      </c>
      <c r="F15" s="281">
        <f>'Raw (CF Statement)'!M15</f>
        <v>-5144000000</v>
      </c>
      <c r="G15" s="282">
        <f>'Raw (CF Statement)'!N15</f>
        <v>-7029000000</v>
      </c>
      <c r="H15" s="281">
        <f>-('Balance Sheet'!H10+'Balance Sheet'!H11-'Balance Sheet'!G10-'Balance Sheet'!G11)</f>
        <v>-4340846726</v>
      </c>
      <c r="I15" s="281">
        <f>-('Balance Sheet'!I10+'Balance Sheet'!I11-'Balance Sheet'!H10-'Balance Sheet'!H11)</f>
        <v>-4362806639</v>
      </c>
      <c r="J15" s="281">
        <f>-('Balance Sheet'!J10+'Balance Sheet'!J11-'Balance Sheet'!I10-'Balance Sheet'!I11)</f>
        <v>-4715462965</v>
      </c>
      <c r="K15" s="281">
        <f>-('Balance Sheet'!K10+'Balance Sheet'!K11-'Balance Sheet'!J10-'Balance Sheet'!J11)</f>
        <v>-6354286417</v>
      </c>
      <c r="L15" s="281">
        <f>-('Balance Sheet'!L10+'Balance Sheet'!L11-'Balance Sheet'!K10-'Balance Sheet'!K11)</f>
        <v>-6081872842</v>
      </c>
    </row>
    <row r="16" spans="1:12" ht="15.75" customHeight="1" x14ac:dyDescent="0.35">
      <c r="B16" s="283" t="s">
        <v>15</v>
      </c>
      <c r="C16" s="275">
        <f>'Raw (CF Statement)'!J14</f>
        <v>-2642000000</v>
      </c>
      <c r="D16" s="275">
        <f>'Raw (CF Statement)'!K14</f>
        <v>1484000000</v>
      </c>
      <c r="E16" s="275">
        <f>'Raw (CF Statement)'!L14</f>
        <v>-1618000000</v>
      </c>
      <c r="F16" s="275">
        <f>'Raw (CF Statement)'!M14</f>
        <v>-1046000000</v>
      </c>
      <c r="G16" s="276">
        <f>'Raw (CF Statement)'!N14</f>
        <v>1400000000</v>
      </c>
      <c r="H16" s="275">
        <f>-('Balance Sheet'!H12-'Balance Sheet'!G12)</f>
        <v>-297076111</v>
      </c>
      <c r="I16" s="275">
        <f>-('Balance Sheet'!I12-'Balance Sheet'!H12)</f>
        <v>-259492915</v>
      </c>
      <c r="J16" s="275">
        <f>-('Balance Sheet'!J12-'Balance Sheet'!I12)</f>
        <v>-274116763</v>
      </c>
      <c r="K16" s="275">
        <f>-('Balance Sheet'!K12-'Balance Sheet'!J12)</f>
        <v>-504993665</v>
      </c>
      <c r="L16" s="275">
        <f>-('Balance Sheet'!L12-'Balance Sheet'!K12)</f>
        <v>-400411954</v>
      </c>
    </row>
    <row r="17" spans="2:12" ht="15.75" customHeight="1" x14ac:dyDescent="0.35">
      <c r="B17" s="280" t="s">
        <v>16</v>
      </c>
      <c r="C17" s="281">
        <f>'Raw (CF Statement)'!J18</f>
        <v>-8042000000</v>
      </c>
      <c r="D17" s="281">
        <f>'Raw (CF Statement)'!K18</f>
        <v>-6499000000</v>
      </c>
      <c r="E17" s="281">
        <f>'Raw (CF Statement)'!L18</f>
        <v>-5684000000</v>
      </c>
      <c r="F17" s="281">
        <f>'Raw (CF Statement)'!M18</f>
        <v>-11731000000</v>
      </c>
      <c r="G17" s="282">
        <f>'Raw (CF Statement)'!N18</f>
        <v>-9197000000</v>
      </c>
      <c r="H17" s="281">
        <f>-('Balance Sheet'!H13-'Balance Sheet'!G13)</f>
        <v>-959571335</v>
      </c>
      <c r="I17" s="281">
        <f>-('Balance Sheet'!I13-'Balance Sheet'!H13)</f>
        <v>-1047588435</v>
      </c>
      <c r="J17" s="281">
        <f>-('Balance Sheet'!J13-'Balance Sheet'!I13)</f>
        <v>-1145781748</v>
      </c>
      <c r="K17" s="281">
        <f>-('Balance Sheet'!K13-'Balance Sheet'!J13)</f>
        <v>-1255455262</v>
      </c>
      <c r="L17" s="281">
        <f>-('Balance Sheet'!L13-'Balance Sheet'!K13)</f>
        <v>-1378086183</v>
      </c>
    </row>
    <row r="18" spans="2:12" ht="15.75" customHeight="1" x14ac:dyDescent="0.35">
      <c r="B18" s="283" t="s">
        <v>17</v>
      </c>
      <c r="C18" s="275">
        <f>'Raw (CF Statement)'!J19</f>
        <v>12326000000</v>
      </c>
      <c r="D18" s="275">
        <f>'Raw (CF Statement)'!K19</f>
        <v>9448000000</v>
      </c>
      <c r="E18" s="275">
        <f>'Raw (CF Statement)'!L19</f>
        <v>-1889000000</v>
      </c>
      <c r="F18" s="275">
        <f>'Raw (CF Statement)'!M19</f>
        <v>6020000000</v>
      </c>
      <c r="G18" s="276">
        <f>'Raw (CF Statement)'!N19</f>
        <v>902000000</v>
      </c>
      <c r="H18" s="275">
        <f>'Balance Sheet'!H31-'Balance Sheet'!G31</f>
        <v>3629544796</v>
      </c>
      <c r="I18" s="275">
        <f>'Balance Sheet'!I31-'Balance Sheet'!H31</f>
        <v>3170369889</v>
      </c>
      <c r="J18" s="275">
        <f>'Balance Sheet'!J31-'Balance Sheet'!I31</f>
        <v>3349037606</v>
      </c>
      <c r="K18" s="275">
        <f>'Balance Sheet'!K31-'Balance Sheet'!J31</f>
        <v>6169789693</v>
      </c>
      <c r="L18" s="275">
        <f>'Balance Sheet'!L31-'Balance Sheet'!K31</f>
        <v>4892056508</v>
      </c>
    </row>
    <row r="19" spans="2:12" ht="15.75" customHeight="1" x14ac:dyDescent="0.35">
      <c r="B19" s="280" t="s">
        <v>18</v>
      </c>
      <c r="C19" s="281">
        <f>'Raw (CF Statement)'!J22</f>
        <v>5799000000</v>
      </c>
      <c r="D19" s="281">
        <f>'Raw (CF Statement)'!K22</f>
        <v>5632000000</v>
      </c>
      <c r="E19" s="281">
        <f>'Raw (CF Statement)'!L22</f>
        <v>3031000000</v>
      </c>
      <c r="F19" s="281">
        <f>'Raw (CF Statement)'!M22</f>
        <v>15552000000</v>
      </c>
      <c r="G19" s="282">
        <f>'Raw (CF Statement)'!N22</f>
        <v>-11076000000</v>
      </c>
      <c r="H19" s="281">
        <f>'Balance Sheet'!H35-'Balance Sheet'!G35</f>
        <v>4367710814</v>
      </c>
      <c r="I19" s="281">
        <f>'Balance Sheet'!I35-'Balance Sheet'!H35</f>
        <v>4768340995</v>
      </c>
      <c r="J19" s="281">
        <f>'Balance Sheet'!J35-'Balance Sheet'!I35</f>
        <v>5215290568</v>
      </c>
      <c r="K19" s="281">
        <f>'Balance Sheet'!K35-'Balance Sheet'!J35</f>
        <v>5714494925</v>
      </c>
      <c r="L19" s="281">
        <f>'Balance Sheet'!L35-'Balance Sheet'!K35</f>
        <v>6272677920</v>
      </c>
    </row>
    <row r="20" spans="2:12" ht="15.75" customHeight="1" x14ac:dyDescent="0.35">
      <c r="B20" s="283" t="s">
        <v>19</v>
      </c>
      <c r="C20" s="275">
        <f>'Raw (CF Statement)'!J23</f>
        <v>1676000000</v>
      </c>
      <c r="D20" s="275">
        <f>'Raw (CF Statement)'!K23</f>
        <v>478000000</v>
      </c>
      <c r="E20" s="275" t="str">
        <f>'Raw (CF Statement)'!L23</f>
        <v/>
      </c>
      <c r="F20" s="275" t="str">
        <f>'Raw (CF Statement)'!M23</f>
        <v/>
      </c>
      <c r="G20" s="276" t="str">
        <f>'Raw (CF Statement)'!N23</f>
        <v/>
      </c>
      <c r="H20" s="275">
        <f>'Balance Sheet'!H34-'Balance Sheet'!G34</f>
        <v>1223007362</v>
      </c>
      <c r="I20" s="275">
        <f>'Balance Sheet'!I34-'Balance Sheet'!H34</f>
        <v>1388192012</v>
      </c>
      <c r="J20" s="275">
        <f>'Balance Sheet'!J34-'Balance Sheet'!I34</f>
        <v>1575687214</v>
      </c>
      <c r="K20" s="275">
        <f>'Balance Sheet'!K34-'Balance Sheet'!J34</f>
        <v>1788506326</v>
      </c>
      <c r="L20" s="275">
        <f>'Balance Sheet'!L34-'Balance Sheet'!K34</f>
        <v>2030069706</v>
      </c>
    </row>
    <row r="21" spans="2:12" ht="15.75" customHeight="1" x14ac:dyDescent="0.35">
      <c r="B21" s="280" t="s">
        <v>20</v>
      </c>
      <c r="C21" s="286">
        <v>0</v>
      </c>
      <c r="D21" s="286">
        <v>0</v>
      </c>
      <c r="E21" s="286">
        <v>0</v>
      </c>
      <c r="F21" s="286">
        <v>0</v>
      </c>
      <c r="G21" s="287">
        <v>0</v>
      </c>
      <c r="H21" s="286">
        <v>0</v>
      </c>
      <c r="I21" s="286">
        <v>0</v>
      </c>
      <c r="J21" s="286">
        <v>0</v>
      </c>
      <c r="K21" s="286">
        <v>0</v>
      </c>
      <c r="L21" s="286">
        <v>0</v>
      </c>
    </row>
    <row r="22" spans="2:12" ht="16.5" customHeight="1" thickBot="1" x14ac:dyDescent="0.4">
      <c r="B22" s="288" t="s">
        <v>21</v>
      </c>
      <c r="C22" s="289">
        <f t="shared" ref="C22:H22" si="1">SUM(C7:C21)</f>
        <v>104038000000</v>
      </c>
      <c r="D22" s="289">
        <f t="shared" si="1"/>
        <v>122151000000</v>
      </c>
      <c r="E22" s="289">
        <f t="shared" si="1"/>
        <v>110543000000</v>
      </c>
      <c r="F22" s="289">
        <f t="shared" si="1"/>
        <v>118254000000</v>
      </c>
      <c r="G22" s="290">
        <f t="shared" si="1"/>
        <v>111482000000</v>
      </c>
      <c r="H22" s="289">
        <f t="shared" si="1"/>
        <v>144352306898.65613</v>
      </c>
      <c r="I22" s="289">
        <f t="shared" ref="I22:L22" si="2">SUM(I7:I21)</f>
        <v>159072059151.41608</v>
      </c>
      <c r="J22" s="289">
        <f t="shared" si="2"/>
        <v>174798755828.51279</v>
      </c>
      <c r="K22" s="289">
        <f t="shared" si="2"/>
        <v>188030258796.15845</v>
      </c>
      <c r="L22" s="289">
        <f t="shared" si="2"/>
        <v>204783289388.36667</v>
      </c>
    </row>
    <row r="23" spans="2:12" ht="6" customHeight="1" x14ac:dyDescent="0.35">
      <c r="B23" s="5"/>
      <c r="C23" s="43"/>
      <c r="D23" s="43"/>
      <c r="E23" s="43"/>
      <c r="F23" s="43"/>
      <c r="G23" s="291"/>
    </row>
    <row r="24" spans="2:12" ht="18" customHeight="1" x14ac:dyDescent="0.35">
      <c r="B24" s="266" t="s">
        <v>22</v>
      </c>
      <c r="C24" s="278"/>
      <c r="D24" s="278"/>
      <c r="E24" s="278"/>
      <c r="F24" s="278"/>
      <c r="G24" s="279"/>
      <c r="H24" s="378" t="str">
        <f>"PROJECTED " &amp; B24</f>
        <v>PROJECTED INVESTING ACTIVITIES</v>
      </c>
      <c r="I24" s="378"/>
      <c r="J24" s="378"/>
      <c r="K24" s="378"/>
      <c r="L24" s="378"/>
    </row>
    <row r="25" spans="2:12" ht="15.75" customHeight="1" x14ac:dyDescent="0.35">
      <c r="B25" s="292" t="s">
        <v>23</v>
      </c>
      <c r="C25" s="281">
        <f>'Raw (CF Statement)'!J27</f>
        <v>-11085000000</v>
      </c>
      <c r="D25" s="281">
        <f>'Raw (CF Statement)'!K27</f>
        <v>-10708000000</v>
      </c>
      <c r="E25" s="281">
        <f>'Raw (CF Statement)'!L27</f>
        <v>-10959000000</v>
      </c>
      <c r="F25" s="281">
        <f>'Raw (CF Statement)'!M27</f>
        <v>-9447000000</v>
      </c>
      <c r="G25" s="282">
        <f>'Raw (CF Statement)'!N27</f>
        <v>-12715000000</v>
      </c>
      <c r="H25" s="281">
        <f>-'Income Statement'!H10*'Assumptions &amp; Drivers'!E18</f>
        <v>-13749768590.575504</v>
      </c>
      <c r="I25" s="281">
        <f>-'Income Statement'!I10*'Assumptions &amp; Drivers'!F18</f>
        <v>-14202968396.197676</v>
      </c>
      <c r="J25" s="281">
        <f>-'Income Statement'!J10*'Assumptions &amp; Drivers'!G18</f>
        <v>-14677637636.211479</v>
      </c>
      <c r="K25" s="281">
        <f>-'Income Statement'!K10*'Assumptions &amp; Drivers'!H18</f>
        <v>-15716490841.767033</v>
      </c>
      <c r="L25" s="281">
        <f>-'Income Statement'!L10*'Assumptions &amp; Drivers'!I18</f>
        <v>-16275548042.980125</v>
      </c>
    </row>
    <row r="26" spans="2:12" ht="15.75" customHeight="1" x14ac:dyDescent="0.35">
      <c r="B26" s="274" t="s">
        <v>24</v>
      </c>
      <c r="C26" s="275">
        <f>'Raw (CF Statement)'!J29</f>
        <v>-109689000000</v>
      </c>
      <c r="D26" s="275">
        <f>'Raw (CF Statement)'!K29</f>
        <v>-76923000000</v>
      </c>
      <c r="E26" s="275">
        <f>'Raw (CF Statement)'!L29</f>
        <v>-29513000000</v>
      </c>
      <c r="F26" s="275">
        <f>'Raw (CF Statement)'!M29</f>
        <v>-48656000000</v>
      </c>
      <c r="G26" s="276">
        <f>'Raw (CF Statement)'!N29</f>
        <v>-24407000000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</row>
    <row r="27" spans="2:12" ht="15.75" customHeight="1" x14ac:dyDescent="0.35">
      <c r="B27" s="292" t="s">
        <v>292</v>
      </c>
      <c r="C27" s="281">
        <f>'Raw (CF Statement)'!J31</f>
        <v>59023000000</v>
      </c>
      <c r="D27" s="281">
        <f>'Raw (CF Statement)'!K31</f>
        <v>29917000000</v>
      </c>
      <c r="E27" s="281">
        <f>'Raw (CF Statement)'!L31</f>
        <v>39686000000</v>
      </c>
      <c r="F27" s="281">
        <f>'Raw (CF Statement)'!M31</f>
        <v>51211000000</v>
      </c>
      <c r="G27" s="282">
        <f>'Raw (CF Statement)'!N31</f>
        <v>40907000000</v>
      </c>
      <c r="H27" s="281">
        <f>'Balance Sheet'!G9-'Balance Sheet'!H9</f>
        <v>0</v>
      </c>
      <c r="I27" s="281">
        <f>'Balance Sheet'!H9-'Balance Sheet'!I9</f>
        <v>0</v>
      </c>
      <c r="J27" s="281">
        <f>'Balance Sheet'!I9-'Balance Sheet'!J9</f>
        <v>0</v>
      </c>
      <c r="K27" s="281">
        <f>'Balance Sheet'!J9-'Balance Sheet'!K9</f>
        <v>0</v>
      </c>
      <c r="L27" s="281">
        <f>'Balance Sheet'!K9-'Balance Sheet'!L9</f>
        <v>0</v>
      </c>
    </row>
    <row r="28" spans="2:12" ht="15.75" customHeight="1" x14ac:dyDescent="0.35">
      <c r="B28" s="274" t="s">
        <v>25</v>
      </c>
      <c r="C28" s="275">
        <f>'Raw (CF Statement)'!J32</f>
        <v>47847000000</v>
      </c>
      <c r="D28" s="275">
        <f>'Raw (CF Statement)'!K32</f>
        <v>37446000000</v>
      </c>
      <c r="E28" s="275">
        <f>'Raw (CF Statement)'!L32</f>
        <v>5828000000</v>
      </c>
      <c r="F28" s="275">
        <f>'Raw (CF Statement)'!M32</f>
        <v>11135000000</v>
      </c>
      <c r="G28" s="276">
        <f>'Raw (CF Statement)'!N32</f>
        <v>12890000000</v>
      </c>
      <c r="H28" s="284">
        <v>0</v>
      </c>
      <c r="I28" s="284">
        <v>0</v>
      </c>
      <c r="J28" s="284">
        <v>0</v>
      </c>
      <c r="K28" s="284">
        <v>0</v>
      </c>
      <c r="L28" s="284">
        <v>0</v>
      </c>
    </row>
    <row r="29" spans="2:12" ht="15.75" customHeight="1" x14ac:dyDescent="0.35">
      <c r="B29" s="292" t="s">
        <v>26</v>
      </c>
      <c r="C29" s="281">
        <f>'Raw (CF Statement)'!J36</f>
        <v>-33000000</v>
      </c>
      <c r="D29" s="281">
        <f>'Raw (CF Statement)'!K36</f>
        <v>-306000000</v>
      </c>
      <c r="E29" s="281" t="str">
        <f>'Raw (CF Statement)'!L36</f>
        <v/>
      </c>
      <c r="F29" s="281" t="str">
        <f>'Raw (CF Statement)'!M36</f>
        <v/>
      </c>
      <c r="G29" s="282" t="str">
        <f>'Raw (CF Statement)'!N36</f>
        <v/>
      </c>
      <c r="H29" s="286">
        <v>0</v>
      </c>
      <c r="I29" s="286">
        <v>0</v>
      </c>
      <c r="J29" s="286">
        <v>0</v>
      </c>
      <c r="K29" s="286">
        <v>0</v>
      </c>
      <c r="L29" s="286">
        <v>0</v>
      </c>
    </row>
    <row r="30" spans="2:12" ht="15.75" customHeight="1" x14ac:dyDescent="0.35">
      <c r="B30" s="274" t="s">
        <v>27</v>
      </c>
      <c r="C30" s="284">
        <v>0</v>
      </c>
      <c r="D30" s="284">
        <v>0</v>
      </c>
      <c r="E30" s="284">
        <v>0</v>
      </c>
      <c r="F30" s="284">
        <v>0</v>
      </c>
      <c r="G30" s="285">
        <v>0</v>
      </c>
      <c r="H30" s="284">
        <v>0</v>
      </c>
      <c r="I30" s="284">
        <v>0</v>
      </c>
      <c r="J30" s="284">
        <v>0</v>
      </c>
      <c r="K30" s="284">
        <v>0</v>
      </c>
      <c r="L30" s="284">
        <v>0</v>
      </c>
    </row>
    <row r="31" spans="2:12" ht="15.75" customHeight="1" x14ac:dyDescent="0.35">
      <c r="B31" s="292" t="s">
        <v>28</v>
      </c>
      <c r="C31" s="281">
        <f>'Raw (CF Statement)'!J34</f>
        <v>-608000000</v>
      </c>
      <c r="D31" s="281">
        <f>'Raw (CF Statement)'!K34</f>
        <v>-1780000000</v>
      </c>
      <c r="E31" s="281">
        <f>'Raw (CF Statement)'!L34</f>
        <v>-1337000000</v>
      </c>
      <c r="F31" s="281">
        <f>'Raw (CF Statement)'!M34</f>
        <v>-1308000000</v>
      </c>
      <c r="G31" s="282">
        <f>'Raw (CF Statement)'!N34</f>
        <v>-1480000000</v>
      </c>
      <c r="H31" s="281">
        <f>'Balance Sheet'!G24-'Balance Sheet'!H24</f>
        <v>0</v>
      </c>
      <c r="I31" s="281">
        <f>'Balance Sheet'!H24-'Balance Sheet'!I24</f>
        <v>0</v>
      </c>
      <c r="J31" s="281">
        <f>'Balance Sheet'!I24-'Balance Sheet'!J24</f>
        <v>0</v>
      </c>
      <c r="K31" s="281">
        <f>'Balance Sheet'!J24-'Balance Sheet'!K24</f>
        <v>0</v>
      </c>
      <c r="L31" s="281">
        <f>'Balance Sheet'!K24-'Balance Sheet'!L24</f>
        <v>0</v>
      </c>
    </row>
    <row r="32" spans="2:12" ht="16.5" customHeight="1" thickBot="1" x14ac:dyDescent="0.4">
      <c r="B32" s="288" t="s">
        <v>29</v>
      </c>
      <c r="C32" s="289">
        <f t="shared" ref="C32:H32" si="3">SUM(C25:C31)</f>
        <v>-14545000000</v>
      </c>
      <c r="D32" s="289">
        <f t="shared" si="3"/>
        <v>-22354000000</v>
      </c>
      <c r="E32" s="289">
        <f t="shared" si="3"/>
        <v>3705000000</v>
      </c>
      <c r="F32" s="289">
        <f t="shared" si="3"/>
        <v>2935000000</v>
      </c>
      <c r="G32" s="290">
        <f t="shared" si="3"/>
        <v>15195000000</v>
      </c>
      <c r="H32" s="289">
        <f t="shared" si="3"/>
        <v>-13749768590.575504</v>
      </c>
      <c r="I32" s="289">
        <f t="shared" ref="I32:L32" si="4">SUM(I25:I31)</f>
        <v>-14202968396.197676</v>
      </c>
      <c r="J32" s="289">
        <f t="shared" si="4"/>
        <v>-14677637636.211479</v>
      </c>
      <c r="K32" s="289">
        <f t="shared" si="4"/>
        <v>-15716490841.767033</v>
      </c>
      <c r="L32" s="289">
        <f t="shared" si="4"/>
        <v>-16275548042.980125</v>
      </c>
    </row>
    <row r="33" spans="2:13" ht="6" customHeight="1" x14ac:dyDescent="0.35">
      <c r="B33" s="5"/>
      <c r="C33" s="43"/>
      <c r="D33" s="43"/>
      <c r="E33" s="43"/>
      <c r="F33" s="43"/>
      <c r="G33" s="291"/>
    </row>
    <row r="34" spans="2:13" ht="18" customHeight="1" x14ac:dyDescent="0.35">
      <c r="B34" s="266" t="s">
        <v>30</v>
      </c>
      <c r="C34" s="278"/>
      <c r="D34" s="278"/>
      <c r="E34" s="278"/>
      <c r="F34" s="278"/>
      <c r="G34" s="279"/>
      <c r="H34" s="378" t="str">
        <f>"PROJECTED " &amp; B34</f>
        <v>PROJECTED FINANCING ACTIVITIES</v>
      </c>
      <c r="I34" s="378"/>
      <c r="J34" s="378"/>
      <c r="K34" s="378"/>
      <c r="L34" s="378"/>
    </row>
    <row r="35" spans="2:13" ht="15.75" customHeight="1" x14ac:dyDescent="0.35">
      <c r="B35" s="292" t="s">
        <v>295</v>
      </c>
      <c r="C35" s="281">
        <f>-'Raw (CF Statement)'!J53</f>
        <v>-6685000000</v>
      </c>
      <c r="D35" s="281">
        <f>-'Raw (CF Statement)'!K53</f>
        <v>-6223000000</v>
      </c>
      <c r="E35" s="281">
        <f>-'Raw (CF Statement)'!L53</f>
        <v>-5431000000</v>
      </c>
      <c r="F35" s="281">
        <f>-'Raw (CF Statement)'!M53</f>
        <v>-5441000000</v>
      </c>
      <c r="G35" s="282">
        <f>-'Raw (CF Statement)'!N53</f>
        <v>-5960000000</v>
      </c>
      <c r="H35" s="286">
        <v>0</v>
      </c>
      <c r="I35" s="286">
        <v>0</v>
      </c>
      <c r="J35" s="286">
        <v>0</v>
      </c>
      <c r="K35" s="286">
        <v>0</v>
      </c>
      <c r="L35" s="286">
        <v>0</v>
      </c>
    </row>
    <row r="36" spans="2:13" ht="15.75" customHeight="1" x14ac:dyDescent="0.35">
      <c r="B36" s="274" t="s">
        <v>298</v>
      </c>
      <c r="C36" s="275">
        <f>'Raw (CF Statement)'!J45</f>
        <v>1022000000</v>
      </c>
      <c r="D36" s="275">
        <f>'Raw (CF Statement)'!K45</f>
        <v>3955000000</v>
      </c>
      <c r="E36" s="275">
        <f>'Raw (CF Statement)'!L45</f>
        <v>-3978000000</v>
      </c>
      <c r="F36" s="275">
        <f>'Raw (CF Statement)'!M45</f>
        <v>3960000000</v>
      </c>
      <c r="G36" s="276">
        <f>'Raw (CF Statement)'!N45</f>
        <v>-2032000000</v>
      </c>
      <c r="H36" s="284">
        <v>0</v>
      </c>
      <c r="I36" s="284">
        <v>0</v>
      </c>
      <c r="J36" s="284">
        <v>0</v>
      </c>
      <c r="K36" s="284">
        <v>0</v>
      </c>
      <c r="L36" s="284">
        <v>0</v>
      </c>
    </row>
    <row r="37" spans="2:13" ht="15.75" customHeight="1" x14ac:dyDescent="0.35">
      <c r="B37" s="292" t="s">
        <v>299</v>
      </c>
      <c r="C37" s="281">
        <f>'Raw (CF Statement)'!J47</f>
        <v>20393000000</v>
      </c>
      <c r="D37" s="281">
        <f>'Raw (CF Statement)'!K47</f>
        <v>5465000000</v>
      </c>
      <c r="E37" s="281">
        <f>'Raw (CF Statement)'!L47</f>
        <v>5228000000</v>
      </c>
      <c r="F37" s="281">
        <f>'Raw (CF Statement)'!M47</f>
        <v>0</v>
      </c>
      <c r="G37" s="282">
        <f>'Raw (CF Statement)'!N47</f>
        <v>4481000000</v>
      </c>
      <c r="H37" s="286">
        <v>0</v>
      </c>
      <c r="I37" s="286">
        <v>0</v>
      </c>
      <c r="J37" s="286">
        <v>0</v>
      </c>
      <c r="K37" s="286">
        <v>0</v>
      </c>
      <c r="L37" s="286">
        <v>0</v>
      </c>
    </row>
    <row r="38" spans="2:13" ht="15.75" customHeight="1" x14ac:dyDescent="0.35">
      <c r="B38" s="274" t="s">
        <v>300</v>
      </c>
      <c r="C38" s="275">
        <f>'Raw (CF Statement)'!J48</f>
        <v>-8750000000</v>
      </c>
      <c r="D38" s="275">
        <f>'Raw (CF Statement)'!K48</f>
        <v>-9543000000</v>
      </c>
      <c r="E38" s="275">
        <f>'Raw (CF Statement)'!L48</f>
        <v>-11151000000</v>
      </c>
      <c r="F38" s="275">
        <f>'Raw (CF Statement)'!M48</f>
        <v>-9958000000</v>
      </c>
      <c r="G38" s="276">
        <f>'Raw (CF Statement)'!N48</f>
        <v>-10932000000</v>
      </c>
      <c r="H38" s="284">
        <v>0</v>
      </c>
      <c r="I38" s="284">
        <v>0</v>
      </c>
      <c r="J38" s="284">
        <v>0</v>
      </c>
      <c r="K38" s="284">
        <v>0</v>
      </c>
      <c r="L38" s="284">
        <v>0</v>
      </c>
    </row>
    <row r="39" spans="2:13" ht="15.75" customHeight="1" x14ac:dyDescent="0.35">
      <c r="B39" s="292" t="s">
        <v>31</v>
      </c>
      <c r="C39" s="293">
        <v>0</v>
      </c>
      <c r="D39" s="293">
        <v>0</v>
      </c>
      <c r="E39" s="293">
        <v>0</v>
      </c>
      <c r="F39" s="293">
        <v>0</v>
      </c>
      <c r="G39" s="294">
        <v>0</v>
      </c>
      <c r="H39" s="286">
        <v>0</v>
      </c>
      <c r="I39" s="286">
        <v>0</v>
      </c>
      <c r="J39" s="286">
        <v>0</v>
      </c>
      <c r="K39" s="286">
        <v>0</v>
      </c>
      <c r="L39" s="286">
        <v>0</v>
      </c>
    </row>
    <row r="40" spans="2:13" ht="15.75" customHeight="1" x14ac:dyDescent="0.35">
      <c r="B40" s="274" t="s">
        <v>32</v>
      </c>
      <c r="C40" s="275">
        <f>'Raw (CF Statement)'!J41</f>
        <v>-84866000000</v>
      </c>
      <c r="D40" s="275">
        <f>'Raw (CF Statement)'!K41</f>
        <v>-89402000000</v>
      </c>
      <c r="E40" s="275">
        <f>'Raw (CF Statement)'!L41</f>
        <v>-77550000000</v>
      </c>
      <c r="F40" s="275">
        <f>'Raw (CF Statement)'!M41</f>
        <v>-94949000000</v>
      </c>
      <c r="G40" s="276">
        <f>'Raw (CF Statement)'!N41</f>
        <v>-90711000000</v>
      </c>
      <c r="H40" s="275">
        <f>-'Assumptions &amp; Drivers'!E32*1000000</f>
        <v>-90000000000</v>
      </c>
      <c r="I40" s="275">
        <f>-'Assumptions &amp; Drivers'!F32*1000000</f>
        <v>-85000000000</v>
      </c>
      <c r="J40" s="275">
        <f>-'Assumptions &amp; Drivers'!G32*1000000</f>
        <v>-80000000000</v>
      </c>
      <c r="K40" s="275">
        <f>-'Assumptions &amp; Drivers'!H32*1000000</f>
        <v>-75000000000</v>
      </c>
      <c r="L40" s="275">
        <f>-'Assumptions &amp; Drivers'!I32*1000000</f>
        <v>-70000000000</v>
      </c>
    </row>
    <row r="41" spans="2:13" ht="15.75" customHeight="1" x14ac:dyDescent="0.35">
      <c r="B41" s="292" t="s">
        <v>33</v>
      </c>
      <c r="C41" s="281">
        <f>'Raw (CF Statement)'!J49</f>
        <v>-14467000000</v>
      </c>
      <c r="D41" s="281">
        <f>'Raw (CF Statement)'!K49</f>
        <v>-14841000000</v>
      </c>
      <c r="E41" s="281">
        <f>'Raw (CF Statement)'!L49</f>
        <v>-15025000000</v>
      </c>
      <c r="F41" s="281">
        <f>'Raw (CF Statement)'!M49</f>
        <v>-15234000000</v>
      </c>
      <c r="G41" s="282">
        <f>'Raw (CF Statement)'!N49</f>
        <v>-15421000000</v>
      </c>
      <c r="H41" s="281">
        <f>-'Assumptions &amp; Drivers'!E33*'Income Statement'!H53</f>
        <v>-15686249669.526182</v>
      </c>
      <c r="I41" s="281">
        <f>-'Assumptions &amp; Drivers'!F33*'Income Statement'!I53</f>
        <v>-15957247857.099745</v>
      </c>
      <c r="J41" s="281">
        <f>-'Assumptions &amp; Drivers'!G33*'Income Statement'!J53</f>
        <v>-16228967114.265715</v>
      </c>
      <c r="K41" s="281">
        <f>-'Assumptions &amp; Drivers'!H33*'Income Statement'!K53</f>
        <v>-16506657441.024092</v>
      </c>
      <c r="L41" s="281">
        <f>-'Assumptions &amp; Drivers'!I33*'Income Statement'!L53</f>
        <v>-16782791388.919905</v>
      </c>
    </row>
    <row r="42" spans="2:13" ht="15.75" customHeight="1" x14ac:dyDescent="0.35">
      <c r="B42" s="274" t="s">
        <v>34</v>
      </c>
      <c r="C42" s="275">
        <f>-'Raw (CF Statement)'!J54</f>
        <v>0</v>
      </c>
      <c r="D42" s="275">
        <f>-'Raw (CF Statement)'!K54</f>
        <v>-160000000</v>
      </c>
      <c r="E42" s="275">
        <f>-'Raw (CF Statement)'!L54</f>
        <v>-581000000</v>
      </c>
      <c r="F42" s="275">
        <f>-'Raw (CF Statement)'!M54</f>
        <v>-361000000</v>
      </c>
      <c r="G42" s="276">
        <f>-'Raw (CF Statement)'!N54</f>
        <v>-111000000</v>
      </c>
      <c r="H42" s="284">
        <v>0</v>
      </c>
      <c r="I42" s="284">
        <v>0</v>
      </c>
      <c r="J42" s="284">
        <v>0</v>
      </c>
      <c r="K42" s="284">
        <v>0</v>
      </c>
      <c r="L42" s="284">
        <v>0</v>
      </c>
      <c r="M42" s="121"/>
    </row>
    <row r="43" spans="2:13" ht="16.5" customHeight="1" thickBot="1" x14ac:dyDescent="0.4">
      <c r="B43" s="288" t="s">
        <v>35</v>
      </c>
      <c r="C43" s="289">
        <f t="shared" ref="C43:H43" si="5">SUM(C35:C42)</f>
        <v>-93353000000</v>
      </c>
      <c r="D43" s="289">
        <f t="shared" si="5"/>
        <v>-110749000000</v>
      </c>
      <c r="E43" s="289">
        <f t="shared" si="5"/>
        <v>-108488000000</v>
      </c>
      <c r="F43" s="289">
        <f t="shared" si="5"/>
        <v>-121983000000</v>
      </c>
      <c r="G43" s="290">
        <f t="shared" si="5"/>
        <v>-120686000000</v>
      </c>
      <c r="H43" s="289">
        <f t="shared" si="5"/>
        <v>-105686249669.52618</v>
      </c>
      <c r="I43" s="289">
        <f t="shared" ref="I43:L43" si="6">SUM(I35:I42)</f>
        <v>-100957247857.09975</v>
      </c>
      <c r="J43" s="289">
        <f t="shared" si="6"/>
        <v>-96228967114.265717</v>
      </c>
      <c r="K43" s="289">
        <f t="shared" si="6"/>
        <v>-91506657441.024094</v>
      </c>
      <c r="L43" s="289">
        <f t="shared" si="6"/>
        <v>-86782791388.919907</v>
      </c>
    </row>
    <row r="44" spans="2:13" ht="6" customHeight="1" x14ac:dyDescent="0.35">
      <c r="B44" s="5"/>
      <c r="C44" s="43"/>
      <c r="D44" s="43"/>
      <c r="E44" s="43"/>
      <c r="F44" s="43"/>
      <c r="G44" s="291"/>
    </row>
    <row r="45" spans="2:13" ht="18" customHeight="1" x14ac:dyDescent="0.35">
      <c r="B45" s="266" t="s">
        <v>36</v>
      </c>
      <c r="C45" s="278"/>
      <c r="D45" s="278"/>
      <c r="E45" s="278"/>
      <c r="F45" s="278"/>
      <c r="G45" s="279"/>
      <c r="H45" s="378" t="str">
        <f>"PROJECTED " &amp; B45</f>
        <v>PROJECTED CASH RECONCILIATION</v>
      </c>
      <c r="I45" s="378"/>
      <c r="J45" s="378"/>
      <c r="K45" s="378"/>
      <c r="L45" s="378"/>
    </row>
    <row r="46" spans="2:13" ht="15.75" customHeight="1" x14ac:dyDescent="0.35">
      <c r="B46" s="274" t="s">
        <v>37</v>
      </c>
      <c r="C46" s="275">
        <f>'Raw (CF Statement)'!J59</f>
        <v>39789000000</v>
      </c>
      <c r="D46" s="275">
        <f>'Raw (CF Statement)'!K59</f>
        <v>35929000000</v>
      </c>
      <c r="E46" s="275">
        <f>'Raw (CF Statement)'!L59</f>
        <v>24977000000</v>
      </c>
      <c r="F46" s="275">
        <f>'Raw (CF Statement)'!M59</f>
        <v>30737000000</v>
      </c>
      <c r="G46" s="276">
        <f>'Raw (CF Statement)'!N59</f>
        <v>29943000000</v>
      </c>
      <c r="H46" s="311">
        <f>G49</f>
        <v>35934000000</v>
      </c>
      <c r="I46" s="311">
        <f t="shared" ref="I46:L46" si="7">H49</f>
        <v>60850288638.554443</v>
      </c>
      <c r="J46" s="311">
        <f t="shared" si="7"/>
        <v>104762131536.67311</v>
      </c>
      <c r="K46" s="311">
        <f t="shared" si="7"/>
        <v>168654282614.70868</v>
      </c>
      <c r="L46" s="311">
        <f t="shared" si="7"/>
        <v>249461393128.07599</v>
      </c>
    </row>
    <row r="47" spans="2:13" ht="15.75" customHeight="1" x14ac:dyDescent="0.35">
      <c r="B47" s="292" t="s">
        <v>38</v>
      </c>
      <c r="C47" s="286">
        <v>0</v>
      </c>
      <c r="D47" s="286">
        <v>0</v>
      </c>
      <c r="E47" s="286">
        <v>0</v>
      </c>
      <c r="F47" s="286">
        <v>0</v>
      </c>
      <c r="G47" s="287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</row>
    <row r="48" spans="2:13" ht="16.5" customHeight="1" thickBot="1" x14ac:dyDescent="0.4">
      <c r="B48" s="295" t="s">
        <v>39</v>
      </c>
      <c r="C48" s="296">
        <f t="shared" ref="C48:H48" si="8">C22+C32+C43</f>
        <v>-3860000000</v>
      </c>
      <c r="D48" s="296">
        <f t="shared" si="8"/>
        <v>-10952000000</v>
      </c>
      <c r="E48" s="296">
        <f t="shared" si="8"/>
        <v>5760000000</v>
      </c>
      <c r="F48" s="296">
        <f t="shared" si="8"/>
        <v>-794000000</v>
      </c>
      <c r="G48" s="297">
        <f t="shared" si="8"/>
        <v>5991000000</v>
      </c>
      <c r="H48" s="296">
        <f t="shared" si="8"/>
        <v>24916288638.554443</v>
      </c>
      <c r="I48" s="296">
        <f t="shared" ref="I48:L48" si="9">I22+I32+I43</f>
        <v>43911842898.118668</v>
      </c>
      <c r="J48" s="296">
        <f t="shared" si="9"/>
        <v>63892151078.035583</v>
      </c>
      <c r="K48" s="296">
        <f t="shared" si="9"/>
        <v>80807110513.367325</v>
      </c>
      <c r="L48" s="296">
        <f t="shared" si="9"/>
        <v>101724949956.46663</v>
      </c>
    </row>
    <row r="49" spans="2:12" ht="16.5" customHeight="1" thickBot="1" x14ac:dyDescent="0.4">
      <c r="B49" s="288" t="s">
        <v>40</v>
      </c>
      <c r="C49" s="289">
        <f t="shared" ref="C49:H49" si="10">C46+C48+C47</f>
        <v>35929000000</v>
      </c>
      <c r="D49" s="289">
        <f t="shared" si="10"/>
        <v>24977000000</v>
      </c>
      <c r="E49" s="289">
        <f t="shared" si="10"/>
        <v>30737000000</v>
      </c>
      <c r="F49" s="289">
        <f t="shared" si="10"/>
        <v>29943000000</v>
      </c>
      <c r="G49" s="290">
        <f t="shared" si="10"/>
        <v>35934000000</v>
      </c>
      <c r="H49" s="289">
        <f t="shared" si="10"/>
        <v>60850288638.554443</v>
      </c>
      <c r="I49" s="289">
        <f t="shared" ref="I49:L49" si="11">I46+I48+I47</f>
        <v>104762131536.67311</v>
      </c>
      <c r="J49" s="289">
        <f t="shared" si="11"/>
        <v>168654282614.70868</v>
      </c>
      <c r="K49" s="289">
        <f t="shared" si="11"/>
        <v>249461393128.07599</v>
      </c>
      <c r="L49" s="289">
        <f t="shared" si="11"/>
        <v>351186343084.5426</v>
      </c>
    </row>
    <row r="50" spans="2:12" ht="6" customHeight="1" x14ac:dyDescent="0.35">
      <c r="B50" s="5"/>
      <c r="C50" s="43"/>
      <c r="D50" s="43"/>
      <c r="E50" s="43"/>
      <c r="F50" s="43"/>
      <c r="G50" s="291"/>
    </row>
    <row r="51" spans="2:12" ht="18" customHeight="1" x14ac:dyDescent="0.35">
      <c r="B51" s="266" t="s">
        <v>41</v>
      </c>
      <c r="C51" s="278"/>
      <c r="D51" s="278"/>
      <c r="E51" s="278"/>
      <c r="F51" s="278"/>
      <c r="G51" s="279"/>
      <c r="H51" s="378" t="str">
        <f>"PROJECTED " &amp; B51</f>
        <v>PROJECTED FREE CASH FLOW</v>
      </c>
      <c r="I51" s="378"/>
      <c r="J51" s="378"/>
      <c r="K51" s="378"/>
      <c r="L51" s="378"/>
    </row>
    <row r="52" spans="2:12" ht="15.75" customHeight="1" x14ac:dyDescent="0.35">
      <c r="B52" s="274" t="s">
        <v>42</v>
      </c>
      <c r="C52" s="275">
        <f>C25</f>
        <v>-11085000000</v>
      </c>
      <c r="D52" s="275">
        <f t="shared" ref="D52:G52" si="12">D25</f>
        <v>-10708000000</v>
      </c>
      <c r="E52" s="275">
        <f t="shared" si="12"/>
        <v>-10959000000</v>
      </c>
      <c r="F52" s="275">
        <f t="shared" si="12"/>
        <v>-9447000000</v>
      </c>
      <c r="G52" s="276">
        <f t="shared" si="12"/>
        <v>-12715000000</v>
      </c>
      <c r="H52" s="275">
        <f>H25</f>
        <v>-13749768590.575504</v>
      </c>
      <c r="I52" s="275">
        <f t="shared" ref="I52:L52" si="13">I25</f>
        <v>-14202968396.197676</v>
      </c>
      <c r="J52" s="275">
        <f t="shared" si="13"/>
        <v>-14677637636.211479</v>
      </c>
      <c r="K52" s="275">
        <f t="shared" si="13"/>
        <v>-15716490841.767033</v>
      </c>
      <c r="L52" s="275">
        <f t="shared" si="13"/>
        <v>-16275548042.980125</v>
      </c>
    </row>
    <row r="53" spans="2:12" ht="16.5" customHeight="1" thickBot="1" x14ac:dyDescent="0.4">
      <c r="B53" s="288" t="s">
        <v>43</v>
      </c>
      <c r="C53" s="289">
        <f>C22+C52</f>
        <v>92953000000</v>
      </c>
      <c r="D53" s="289">
        <f>D22+D52</f>
        <v>111443000000</v>
      </c>
      <c r="E53" s="289">
        <f>E22+E52</f>
        <v>99584000000</v>
      </c>
      <c r="F53" s="289">
        <f>F22+F52</f>
        <v>108807000000</v>
      </c>
      <c r="G53" s="290">
        <f>G22+G52</f>
        <v>98767000000</v>
      </c>
      <c r="H53" s="289">
        <f t="shared" ref="H53:L53" si="14">H22+H52</f>
        <v>130602538308.08063</v>
      </c>
      <c r="I53" s="289">
        <f t="shared" si="14"/>
        <v>144869090755.21841</v>
      </c>
      <c r="J53" s="289">
        <f t="shared" si="14"/>
        <v>160121118192.3013</v>
      </c>
      <c r="K53" s="289">
        <f t="shared" si="14"/>
        <v>172313767954.39142</v>
      </c>
      <c r="L53" s="289">
        <f t="shared" si="14"/>
        <v>188507741345.38654</v>
      </c>
    </row>
  </sheetData>
  <mergeCells count="7">
    <mergeCell ref="H34:L34"/>
    <mergeCell ref="H45:L45"/>
    <mergeCell ref="H51:L51"/>
    <mergeCell ref="B1:G1"/>
    <mergeCell ref="B2:G2"/>
    <mergeCell ref="H6:L6"/>
    <mergeCell ref="H24:L24"/>
  </mergeCells>
  <conditionalFormatting sqref="J1">
    <cfRule type="cellIs" dxfId="22" priority="1" operator="equal">
      <formula>TRUE</formula>
    </cfRule>
    <cfRule type="cellIs" dxfId="21" priority="2" operator="equal">
      <formula>FALSE</formula>
    </cfRule>
  </conditionalFormatting>
  <pageMargins left="0.5" right="0.5" top="0.75" bottom="0.75" header="0.511811023622047" footer="0.511811023622047"/>
  <pageSetup fitToHeight="0"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E0DF-DF4F-4A70-8BF1-878D50CEF877}">
  <sheetPr codeName="Sheet7">
    <tabColor rgb="FF0066FF"/>
  </sheetPr>
  <dimension ref="A1:P64"/>
  <sheetViews>
    <sheetView topLeftCell="D1" zoomScaleNormal="100" workbookViewId="0">
      <pane ySplit="2" topLeftCell="A3" activePane="bottomLeft" state="frozen"/>
      <selection sqref="A1:G1"/>
      <selection pane="bottomLeft" sqref="A1:G1"/>
    </sheetView>
  </sheetViews>
  <sheetFormatPr defaultRowHeight="14.5" x14ac:dyDescent="0.35"/>
  <cols>
    <col min="1" max="1" width="73" bestFit="1" customWidth="1"/>
    <col min="2" max="7" width="14.08984375" bestFit="1" customWidth="1"/>
    <col min="9" max="9" width="73" bestFit="1" customWidth="1"/>
    <col min="10" max="14" width="14.08984375" bestFit="1" customWidth="1"/>
    <col min="15" max="15" width="14.08984375" hidden="1" customWidth="1"/>
  </cols>
  <sheetData>
    <row r="1" spans="1:15" x14ac:dyDescent="0.35">
      <c r="A1" s="372" t="s">
        <v>221</v>
      </c>
      <c r="B1" s="373"/>
      <c r="C1" s="373"/>
      <c r="D1" s="373"/>
      <c r="E1" s="373"/>
      <c r="F1" s="373"/>
      <c r="G1" s="374"/>
      <c r="I1" s="372" t="s">
        <v>222</v>
      </c>
      <c r="J1" s="373"/>
      <c r="K1" s="373"/>
      <c r="L1" s="373"/>
      <c r="M1" s="373"/>
      <c r="N1" s="373"/>
      <c r="O1" s="374"/>
    </row>
    <row r="2" spans="1:15" ht="15" thickBot="1" x14ac:dyDescent="0.4">
      <c r="A2" s="19" t="s">
        <v>233</v>
      </c>
      <c r="B2" s="19" t="s">
        <v>176</v>
      </c>
      <c r="C2" s="19" t="s">
        <v>177</v>
      </c>
      <c r="D2" s="19" t="s">
        <v>178</v>
      </c>
      <c r="E2" s="19" t="s">
        <v>179</v>
      </c>
      <c r="F2" s="19" t="s">
        <v>180</v>
      </c>
      <c r="G2" s="19" t="s">
        <v>181</v>
      </c>
      <c r="I2" s="19" t="str">
        <f>A2</f>
        <v>AAPL_cash-flow_Annual_As_Originally_Reported</v>
      </c>
      <c r="J2" s="19" t="str">
        <f t="shared" ref="J2:J29" si="0">B2</f>
        <v>2021</v>
      </c>
      <c r="K2" s="19" t="str">
        <f t="shared" ref="K2:K29" si="1">C2</f>
        <v>2022</v>
      </c>
      <c r="L2" s="19" t="str">
        <f t="shared" ref="L2:L29" si="2">D2</f>
        <v>2023</v>
      </c>
      <c r="M2" s="19" t="str">
        <f t="shared" ref="M2:M29" si="3">E2</f>
        <v>2024</v>
      </c>
      <c r="N2" s="19" t="str">
        <f t="shared" ref="N2:N29" si="4">F2</f>
        <v>2025</v>
      </c>
      <c r="O2" s="19" t="str">
        <f t="shared" ref="O2:O52" si="5">G2</f>
        <v>TTM</v>
      </c>
    </row>
    <row r="3" spans="1:15" x14ac:dyDescent="0.35">
      <c r="A3" t="s">
        <v>234</v>
      </c>
      <c r="B3" s="20">
        <v>104038000000</v>
      </c>
      <c r="C3" s="20">
        <v>122151000000</v>
      </c>
      <c r="D3" s="20">
        <v>110543000000</v>
      </c>
      <c r="E3" s="20">
        <v>118254000000</v>
      </c>
      <c r="F3" s="20">
        <v>111482000000</v>
      </c>
      <c r="G3" s="20">
        <v>135472000000</v>
      </c>
      <c r="I3" s="92" t="str">
        <f t="shared" ref="I3:I29" si="6">A3</f>
        <v>Cash Flow from Operating Activities, Indirect</v>
      </c>
      <c r="J3" s="93">
        <f t="shared" si="0"/>
        <v>104038000000</v>
      </c>
      <c r="K3" s="93">
        <f t="shared" si="1"/>
        <v>122151000000</v>
      </c>
      <c r="L3" s="93">
        <f t="shared" si="2"/>
        <v>110543000000</v>
      </c>
      <c r="M3" s="93">
        <f t="shared" si="3"/>
        <v>118254000000</v>
      </c>
      <c r="N3" s="94">
        <f t="shared" si="4"/>
        <v>111482000000</v>
      </c>
      <c r="O3" s="63">
        <f t="shared" si="5"/>
        <v>135472000000</v>
      </c>
    </row>
    <row r="4" spans="1:15" x14ac:dyDescent="0.35">
      <c r="A4" t="s">
        <v>235</v>
      </c>
      <c r="B4" s="20">
        <v>104038000000</v>
      </c>
      <c r="C4" s="20">
        <v>122151000000</v>
      </c>
      <c r="D4" s="20">
        <v>110543000000</v>
      </c>
      <c r="E4" s="20">
        <v>118254000000</v>
      </c>
      <c r="F4" s="20">
        <v>111482000000</v>
      </c>
      <c r="G4" s="20">
        <v>135472000000</v>
      </c>
      <c r="I4" s="95" t="str">
        <f t="shared" si="6"/>
        <v xml:space="preserve">    Net Cash Flow from Continuing Operating Activities, Indirect</v>
      </c>
      <c r="J4" s="63">
        <f t="shared" si="0"/>
        <v>104038000000</v>
      </c>
      <c r="K4" s="63">
        <f t="shared" si="1"/>
        <v>122151000000</v>
      </c>
      <c r="L4" s="63">
        <f t="shared" si="2"/>
        <v>110543000000</v>
      </c>
      <c r="M4" s="63">
        <f t="shared" si="3"/>
        <v>118254000000</v>
      </c>
      <c r="N4" s="96">
        <f t="shared" si="4"/>
        <v>111482000000</v>
      </c>
      <c r="O4" s="63">
        <f t="shared" si="5"/>
        <v>135472000000</v>
      </c>
    </row>
    <row r="5" spans="1:15" x14ac:dyDescent="0.35">
      <c r="A5" t="s">
        <v>236</v>
      </c>
      <c r="B5" s="20">
        <v>104038000000</v>
      </c>
      <c r="C5" s="20">
        <v>122151000000</v>
      </c>
      <c r="D5" s="20">
        <v>110543000000</v>
      </c>
      <c r="E5" s="20">
        <v>118254000000</v>
      </c>
      <c r="F5" s="20">
        <v>111482000000</v>
      </c>
      <c r="G5" s="20">
        <v>135472000000</v>
      </c>
      <c r="I5" s="95" t="str">
        <f t="shared" si="6"/>
        <v xml:space="preserve">        Cash Generated from Operating Activities</v>
      </c>
      <c r="J5" s="63">
        <f t="shared" si="0"/>
        <v>104038000000</v>
      </c>
      <c r="K5" s="63">
        <f t="shared" si="1"/>
        <v>122151000000</v>
      </c>
      <c r="L5" s="63">
        <f t="shared" si="2"/>
        <v>110543000000</v>
      </c>
      <c r="M5" s="63">
        <f t="shared" si="3"/>
        <v>118254000000</v>
      </c>
      <c r="N5" s="96">
        <f t="shared" si="4"/>
        <v>111482000000</v>
      </c>
      <c r="O5" s="63">
        <f t="shared" si="5"/>
        <v>135472000000</v>
      </c>
    </row>
    <row r="6" spans="1:15" x14ac:dyDescent="0.35">
      <c r="A6" t="s">
        <v>237</v>
      </c>
      <c r="B6" s="20">
        <v>94680000000</v>
      </c>
      <c r="C6" s="20">
        <v>99803000000</v>
      </c>
      <c r="D6" s="20">
        <v>96995000000</v>
      </c>
      <c r="E6" s="20">
        <v>93736000000</v>
      </c>
      <c r="F6" s="20">
        <v>112010000000</v>
      </c>
      <c r="G6" s="20">
        <v>117777000000</v>
      </c>
      <c r="I6" s="97" t="str">
        <f t="shared" si="6"/>
        <v xml:space="preserve">            Income/Loss before Non-Cash Adjustment</v>
      </c>
      <c r="J6" s="84">
        <f t="shared" si="0"/>
        <v>94680000000</v>
      </c>
      <c r="K6" s="85">
        <f t="shared" si="1"/>
        <v>99803000000</v>
      </c>
      <c r="L6" s="85">
        <f t="shared" si="2"/>
        <v>96995000000</v>
      </c>
      <c r="M6" s="85">
        <f t="shared" si="3"/>
        <v>93736000000</v>
      </c>
      <c r="N6" s="98">
        <f t="shared" si="4"/>
        <v>112010000000</v>
      </c>
      <c r="O6" s="86">
        <f t="shared" si="5"/>
        <v>117777000000</v>
      </c>
    </row>
    <row r="7" spans="1:15" x14ac:dyDescent="0.35">
      <c r="A7" t="s">
        <v>238</v>
      </c>
      <c r="B7" s="20">
        <v>14269000000</v>
      </c>
      <c r="C7" s="20">
        <v>21148000000</v>
      </c>
      <c r="D7" s="20">
        <v>20125000000</v>
      </c>
      <c r="E7" s="20">
        <v>20867000000</v>
      </c>
      <c r="F7" s="20">
        <v>24472000000</v>
      </c>
      <c r="G7" s="20">
        <v>26395000000</v>
      </c>
      <c r="I7" s="95" t="str">
        <f t="shared" si="6"/>
        <v xml:space="preserve">            Total Adjustments for Non-Cash Items</v>
      </c>
      <c r="J7" s="63">
        <f t="shared" si="0"/>
        <v>14269000000</v>
      </c>
      <c r="K7" s="63">
        <f t="shared" si="1"/>
        <v>21148000000</v>
      </c>
      <c r="L7" s="63">
        <f t="shared" si="2"/>
        <v>20125000000</v>
      </c>
      <c r="M7" s="63">
        <f t="shared" si="3"/>
        <v>20867000000</v>
      </c>
      <c r="N7" s="96">
        <f t="shared" si="4"/>
        <v>24472000000</v>
      </c>
      <c r="O7" s="63">
        <f t="shared" si="5"/>
        <v>26395000000</v>
      </c>
    </row>
    <row r="8" spans="1:15" x14ac:dyDescent="0.35">
      <c r="A8" t="s">
        <v>239</v>
      </c>
      <c r="B8" s="20">
        <v>11284000000</v>
      </c>
      <c r="C8" s="20">
        <v>11104000000</v>
      </c>
      <c r="D8" s="20">
        <v>11519000000</v>
      </c>
      <c r="E8" s="20">
        <v>11445000000</v>
      </c>
      <c r="F8" s="20">
        <v>11698000000</v>
      </c>
      <c r="G8" s="20">
        <v>11832000000</v>
      </c>
      <c r="I8" s="95" t="str">
        <f t="shared" si="6"/>
        <v xml:space="preserve">                Depreciation, Amortization and Depletion, Non-Cash Adjustment</v>
      </c>
      <c r="J8" s="63">
        <f t="shared" si="0"/>
        <v>11284000000</v>
      </c>
      <c r="K8" s="63">
        <f t="shared" si="1"/>
        <v>11104000000</v>
      </c>
      <c r="L8" s="63">
        <f t="shared" si="2"/>
        <v>11519000000</v>
      </c>
      <c r="M8" s="63">
        <f t="shared" si="3"/>
        <v>11445000000</v>
      </c>
      <c r="N8" s="96">
        <f t="shared" si="4"/>
        <v>11698000000</v>
      </c>
      <c r="O8" s="63">
        <f t="shared" si="5"/>
        <v>11832000000</v>
      </c>
    </row>
    <row r="9" spans="1:15" x14ac:dyDescent="0.35">
      <c r="A9" t="s">
        <v>240</v>
      </c>
      <c r="B9" s="20">
        <v>11284000000</v>
      </c>
      <c r="C9" s="20">
        <v>11104000000</v>
      </c>
      <c r="D9" s="20">
        <v>11519000000</v>
      </c>
      <c r="E9" s="20">
        <v>11445000000</v>
      </c>
      <c r="F9" s="20">
        <v>11698000000</v>
      </c>
      <c r="G9" s="20">
        <v>11832000000</v>
      </c>
      <c r="I9" s="95" t="str">
        <f t="shared" si="6"/>
        <v xml:space="preserve">                    Depreciation and Amortization, Non-Cash Adjustment</v>
      </c>
      <c r="J9" s="69">
        <f t="shared" si="0"/>
        <v>11284000000</v>
      </c>
      <c r="K9" s="69">
        <f t="shared" si="1"/>
        <v>11104000000</v>
      </c>
      <c r="L9" s="69">
        <f t="shared" si="2"/>
        <v>11519000000</v>
      </c>
      <c r="M9" s="69">
        <f t="shared" si="3"/>
        <v>11445000000</v>
      </c>
      <c r="N9" s="99">
        <f t="shared" si="4"/>
        <v>11698000000</v>
      </c>
      <c r="O9" s="63">
        <f t="shared" si="5"/>
        <v>11832000000</v>
      </c>
    </row>
    <row r="10" spans="1:15" x14ac:dyDescent="0.35">
      <c r="A10" t="s">
        <v>241</v>
      </c>
      <c r="B10" s="20">
        <v>7906000000</v>
      </c>
      <c r="C10" s="20">
        <v>9038000000</v>
      </c>
      <c r="D10" s="20">
        <v>10833000000</v>
      </c>
      <c r="E10" s="20">
        <v>11688000000</v>
      </c>
      <c r="F10" s="20">
        <v>12863000000</v>
      </c>
      <c r="G10" s="20">
        <v>13171000000</v>
      </c>
      <c r="I10" s="95" t="str">
        <f t="shared" si="6"/>
        <v xml:space="preserve">                Stock-Based Compensation, Non-Cash Adjustment</v>
      </c>
      <c r="J10" s="69">
        <f t="shared" si="0"/>
        <v>7906000000</v>
      </c>
      <c r="K10" s="69">
        <f t="shared" si="1"/>
        <v>9038000000</v>
      </c>
      <c r="L10" s="69">
        <f t="shared" si="2"/>
        <v>10833000000</v>
      </c>
      <c r="M10" s="69">
        <f t="shared" si="3"/>
        <v>11688000000</v>
      </c>
      <c r="N10" s="99">
        <f t="shared" si="4"/>
        <v>12863000000</v>
      </c>
      <c r="O10" s="63">
        <f t="shared" si="5"/>
        <v>13171000000</v>
      </c>
    </row>
    <row r="11" spans="1:15" x14ac:dyDescent="0.35">
      <c r="A11" t="s">
        <v>242</v>
      </c>
      <c r="B11" s="20">
        <v>-147000000</v>
      </c>
      <c r="C11" s="20">
        <v>111000000</v>
      </c>
      <c r="D11" s="20">
        <v>-2227000000</v>
      </c>
      <c r="E11" s="20">
        <v>-2266000000</v>
      </c>
      <c r="F11" s="20">
        <v>-89000000</v>
      </c>
      <c r="G11" s="20">
        <v>1392000000</v>
      </c>
      <c r="I11" s="95" t="str">
        <f t="shared" si="6"/>
        <v xml:space="preserve">                Other Non-Cash Items</v>
      </c>
      <c r="J11" s="69">
        <f t="shared" si="0"/>
        <v>-147000000</v>
      </c>
      <c r="K11" s="69">
        <f t="shared" si="1"/>
        <v>111000000</v>
      </c>
      <c r="L11" s="69">
        <f t="shared" si="2"/>
        <v>-2227000000</v>
      </c>
      <c r="M11" s="69">
        <f t="shared" si="3"/>
        <v>-2266000000</v>
      </c>
      <c r="N11" s="99">
        <f t="shared" si="4"/>
        <v>-89000000</v>
      </c>
      <c r="O11" s="63">
        <f t="shared" si="5"/>
        <v>1392000000</v>
      </c>
    </row>
    <row r="12" spans="1:15" x14ac:dyDescent="0.35">
      <c r="A12" t="s">
        <v>243</v>
      </c>
      <c r="B12" s="20">
        <v>-4774000000</v>
      </c>
      <c r="C12" s="20">
        <v>895000000</v>
      </c>
      <c r="D12" t="s">
        <v>192</v>
      </c>
      <c r="E12" t="s">
        <v>192</v>
      </c>
      <c r="F12" t="s">
        <v>192</v>
      </c>
      <c r="G12" t="s">
        <v>192</v>
      </c>
      <c r="I12" s="95" t="str">
        <f t="shared" si="6"/>
        <v xml:space="preserve">                Deferred Taxes, Non-Cash Adjustment</v>
      </c>
      <c r="J12" s="69">
        <f t="shared" si="0"/>
        <v>-4774000000</v>
      </c>
      <c r="K12" s="69">
        <f t="shared" si="1"/>
        <v>895000000</v>
      </c>
      <c r="L12" s="76" t="str">
        <f t="shared" si="2"/>
        <v/>
      </c>
      <c r="M12" s="76" t="str">
        <f t="shared" si="3"/>
        <v/>
      </c>
      <c r="N12" s="100" t="str">
        <f t="shared" si="4"/>
        <v/>
      </c>
      <c r="O12" s="74" t="str">
        <f t="shared" si="5"/>
        <v/>
      </c>
    </row>
    <row r="13" spans="1:15" x14ac:dyDescent="0.35">
      <c r="A13" t="s">
        <v>244</v>
      </c>
      <c r="B13" s="20">
        <v>-4911000000</v>
      </c>
      <c r="C13" s="20">
        <v>1200000000</v>
      </c>
      <c r="D13" s="20">
        <v>-6577000000</v>
      </c>
      <c r="E13" s="20">
        <v>3651000000</v>
      </c>
      <c r="F13" s="20">
        <v>-25000000000</v>
      </c>
      <c r="G13" s="20">
        <v>-8700000000</v>
      </c>
      <c r="I13" s="101" t="str">
        <f t="shared" si="6"/>
        <v xml:space="preserve">            Changes in Operating Capital</v>
      </c>
      <c r="J13" s="57">
        <f t="shared" si="0"/>
        <v>-4911000000</v>
      </c>
      <c r="K13" s="57">
        <f t="shared" si="1"/>
        <v>1200000000</v>
      </c>
      <c r="L13" s="57">
        <f t="shared" si="2"/>
        <v>-6577000000</v>
      </c>
      <c r="M13" s="57">
        <f t="shared" si="3"/>
        <v>3651000000</v>
      </c>
      <c r="N13" s="102">
        <f t="shared" si="4"/>
        <v>-25000000000</v>
      </c>
      <c r="O13" s="63">
        <f t="shared" si="5"/>
        <v>-8700000000</v>
      </c>
    </row>
    <row r="14" spans="1:15" x14ac:dyDescent="0.35">
      <c r="A14" t="s">
        <v>245</v>
      </c>
      <c r="B14" s="20">
        <v>-2642000000</v>
      </c>
      <c r="C14" s="20">
        <v>1484000000</v>
      </c>
      <c r="D14" s="20">
        <v>-1618000000</v>
      </c>
      <c r="E14" s="20">
        <v>-1046000000</v>
      </c>
      <c r="F14" s="20">
        <v>1400000000</v>
      </c>
      <c r="G14" s="20">
        <v>974000000</v>
      </c>
      <c r="I14" s="95" t="str">
        <f t="shared" si="6"/>
        <v xml:space="preserve">                Change in Inventories</v>
      </c>
      <c r="J14" s="69">
        <f t="shared" si="0"/>
        <v>-2642000000</v>
      </c>
      <c r="K14" s="69">
        <f t="shared" si="1"/>
        <v>1484000000</v>
      </c>
      <c r="L14" s="69">
        <f t="shared" si="2"/>
        <v>-1618000000</v>
      </c>
      <c r="M14" s="69">
        <f t="shared" si="3"/>
        <v>-1046000000</v>
      </c>
      <c r="N14" s="99">
        <f t="shared" si="4"/>
        <v>1400000000</v>
      </c>
      <c r="O14" s="63">
        <f t="shared" si="5"/>
        <v>974000000</v>
      </c>
    </row>
    <row r="15" spans="1:15" x14ac:dyDescent="0.35">
      <c r="A15" t="s">
        <v>246</v>
      </c>
      <c r="B15" s="20">
        <v>-14028000000</v>
      </c>
      <c r="C15" s="20">
        <v>-9343000000</v>
      </c>
      <c r="D15" s="20">
        <v>-417000000</v>
      </c>
      <c r="E15" s="20">
        <v>-5144000000</v>
      </c>
      <c r="F15" s="20">
        <v>-7029000000</v>
      </c>
      <c r="G15" s="20">
        <v>-11164000000</v>
      </c>
      <c r="I15" s="95" t="str">
        <f t="shared" si="6"/>
        <v xml:space="preserve">                Change in Trade and Other Receivables</v>
      </c>
      <c r="J15" s="69">
        <f t="shared" si="0"/>
        <v>-14028000000</v>
      </c>
      <c r="K15" s="69">
        <f t="shared" si="1"/>
        <v>-9343000000</v>
      </c>
      <c r="L15" s="69">
        <f t="shared" si="2"/>
        <v>-417000000</v>
      </c>
      <c r="M15" s="69">
        <f t="shared" si="3"/>
        <v>-5144000000</v>
      </c>
      <c r="N15" s="99">
        <f t="shared" si="4"/>
        <v>-7029000000</v>
      </c>
      <c r="O15" s="63">
        <f t="shared" si="5"/>
        <v>-11164000000</v>
      </c>
    </row>
    <row r="16" spans="1:15" x14ac:dyDescent="0.35">
      <c r="A16" t="s">
        <v>247</v>
      </c>
      <c r="B16" s="20">
        <v>-10125000000</v>
      </c>
      <c r="C16" s="20">
        <v>-1823000000</v>
      </c>
      <c r="D16" s="20">
        <v>-1688000000</v>
      </c>
      <c r="E16" s="20">
        <v>-3788000000</v>
      </c>
      <c r="F16" s="20">
        <v>-6682000000</v>
      </c>
      <c r="G16" s="20">
        <v>-10432000000</v>
      </c>
      <c r="I16" s="95" t="str">
        <f t="shared" si="6"/>
        <v xml:space="preserve">                    Change in Trade/Accounts Receivable</v>
      </c>
      <c r="J16" s="63">
        <f t="shared" si="0"/>
        <v>-10125000000</v>
      </c>
      <c r="K16" s="63">
        <f t="shared" si="1"/>
        <v>-1823000000</v>
      </c>
      <c r="L16" s="63">
        <f t="shared" si="2"/>
        <v>-1688000000</v>
      </c>
      <c r="M16" s="63">
        <f t="shared" si="3"/>
        <v>-3788000000</v>
      </c>
      <c r="N16" s="96">
        <f t="shared" si="4"/>
        <v>-6682000000</v>
      </c>
      <c r="O16" s="63">
        <f t="shared" si="5"/>
        <v>-10432000000</v>
      </c>
    </row>
    <row r="17" spans="1:15" x14ac:dyDescent="0.35">
      <c r="A17" t="s">
        <v>248</v>
      </c>
      <c r="B17" s="20">
        <v>-3903000000</v>
      </c>
      <c r="C17" s="20">
        <v>-7520000000</v>
      </c>
      <c r="D17" s="20">
        <v>1271000000</v>
      </c>
      <c r="E17" s="20">
        <v>-1356000000</v>
      </c>
      <c r="F17" s="20">
        <v>-347000000</v>
      </c>
      <c r="G17" s="20">
        <v>-732000000</v>
      </c>
      <c r="I17" s="103" t="str">
        <f t="shared" si="6"/>
        <v xml:space="preserve">                    Change in Other Receivables</v>
      </c>
      <c r="J17" s="66">
        <f t="shared" si="0"/>
        <v>-3903000000</v>
      </c>
      <c r="K17" s="66">
        <f t="shared" si="1"/>
        <v>-7520000000</v>
      </c>
      <c r="L17" s="66">
        <f t="shared" si="2"/>
        <v>1271000000</v>
      </c>
      <c r="M17" s="66">
        <f t="shared" si="3"/>
        <v>-1356000000</v>
      </c>
      <c r="N17" s="104">
        <f t="shared" si="4"/>
        <v>-347000000</v>
      </c>
      <c r="O17" s="63">
        <f t="shared" si="5"/>
        <v>-732000000</v>
      </c>
    </row>
    <row r="18" spans="1:15" x14ac:dyDescent="0.35">
      <c r="A18" t="s">
        <v>249</v>
      </c>
      <c r="B18" s="20">
        <v>-8042000000</v>
      </c>
      <c r="C18" s="20">
        <v>-6499000000</v>
      </c>
      <c r="D18" s="20">
        <v>-5684000000</v>
      </c>
      <c r="E18" s="20">
        <v>-11731000000</v>
      </c>
      <c r="F18" s="20">
        <v>-9197000000</v>
      </c>
      <c r="G18" s="20">
        <v>-20386000000</v>
      </c>
      <c r="I18" s="95" t="str">
        <f t="shared" si="6"/>
        <v xml:space="preserve">                Change in Other Current Assets</v>
      </c>
      <c r="J18" s="69">
        <f t="shared" si="0"/>
        <v>-8042000000</v>
      </c>
      <c r="K18" s="69">
        <f t="shared" si="1"/>
        <v>-6499000000</v>
      </c>
      <c r="L18" s="69">
        <f t="shared" si="2"/>
        <v>-5684000000</v>
      </c>
      <c r="M18" s="69">
        <f t="shared" si="3"/>
        <v>-11731000000</v>
      </c>
      <c r="N18" s="99">
        <f t="shared" si="4"/>
        <v>-9197000000</v>
      </c>
      <c r="O18" s="63">
        <f t="shared" si="5"/>
        <v>-20386000000</v>
      </c>
    </row>
    <row r="19" spans="1:15" x14ac:dyDescent="0.35">
      <c r="A19" t="s">
        <v>250</v>
      </c>
      <c r="B19" s="20">
        <v>12326000000</v>
      </c>
      <c r="C19" s="20">
        <v>9448000000</v>
      </c>
      <c r="D19" s="20">
        <v>-1889000000</v>
      </c>
      <c r="E19" s="20">
        <v>6020000000</v>
      </c>
      <c r="F19" s="20">
        <v>902000000</v>
      </c>
      <c r="G19" s="20">
        <v>8421000000</v>
      </c>
      <c r="I19" s="95" t="str">
        <f t="shared" si="6"/>
        <v xml:space="preserve">                Change in Payables and Accrued Expenses</v>
      </c>
      <c r="J19" s="69">
        <f t="shared" si="0"/>
        <v>12326000000</v>
      </c>
      <c r="K19" s="69">
        <f t="shared" si="1"/>
        <v>9448000000</v>
      </c>
      <c r="L19" s="69">
        <f t="shared" si="2"/>
        <v>-1889000000</v>
      </c>
      <c r="M19" s="69">
        <f t="shared" si="3"/>
        <v>6020000000</v>
      </c>
      <c r="N19" s="99">
        <f t="shared" si="4"/>
        <v>902000000</v>
      </c>
      <c r="O19" s="63">
        <f t="shared" si="5"/>
        <v>8421000000</v>
      </c>
    </row>
    <row r="20" spans="1:15" x14ac:dyDescent="0.35">
      <c r="A20" t="s">
        <v>251</v>
      </c>
      <c r="B20" s="20">
        <v>12326000000</v>
      </c>
      <c r="C20" s="20">
        <v>9448000000</v>
      </c>
      <c r="D20" s="20">
        <v>-1889000000</v>
      </c>
      <c r="E20" s="20">
        <v>6020000000</v>
      </c>
      <c r="F20" s="20">
        <v>902000000</v>
      </c>
      <c r="G20" s="20">
        <v>8421000000</v>
      </c>
      <c r="I20" s="95" t="str">
        <f t="shared" si="6"/>
        <v xml:space="preserve">                    Change in Trade and Other Payables</v>
      </c>
      <c r="J20" s="63">
        <f t="shared" si="0"/>
        <v>12326000000</v>
      </c>
      <c r="K20" s="63">
        <f t="shared" si="1"/>
        <v>9448000000</v>
      </c>
      <c r="L20" s="63">
        <f t="shared" si="2"/>
        <v>-1889000000</v>
      </c>
      <c r="M20" s="63">
        <f t="shared" si="3"/>
        <v>6020000000</v>
      </c>
      <c r="N20" s="96">
        <f t="shared" si="4"/>
        <v>902000000</v>
      </c>
      <c r="O20" s="63">
        <f t="shared" si="5"/>
        <v>8421000000</v>
      </c>
    </row>
    <row r="21" spans="1:15" x14ac:dyDescent="0.35">
      <c r="A21" t="s">
        <v>252</v>
      </c>
      <c r="B21" s="20">
        <v>12326000000</v>
      </c>
      <c r="C21" s="20">
        <v>9448000000</v>
      </c>
      <c r="D21" s="20">
        <v>-1889000000</v>
      </c>
      <c r="E21" s="20">
        <v>6020000000</v>
      </c>
      <c r="F21" s="20">
        <v>902000000</v>
      </c>
      <c r="G21" s="20">
        <v>8421000000</v>
      </c>
      <c r="I21" s="95" t="str">
        <f t="shared" si="6"/>
        <v xml:space="preserve">                        Change in Trade/Accounts Payable</v>
      </c>
      <c r="J21" s="63">
        <f t="shared" si="0"/>
        <v>12326000000</v>
      </c>
      <c r="K21" s="63">
        <f t="shared" si="1"/>
        <v>9448000000</v>
      </c>
      <c r="L21" s="63">
        <f t="shared" si="2"/>
        <v>-1889000000</v>
      </c>
      <c r="M21" s="63">
        <f t="shared" si="3"/>
        <v>6020000000</v>
      </c>
      <c r="N21" s="96">
        <f t="shared" si="4"/>
        <v>902000000</v>
      </c>
      <c r="O21" s="63">
        <f t="shared" si="5"/>
        <v>8421000000</v>
      </c>
    </row>
    <row r="22" spans="1:15" x14ac:dyDescent="0.35">
      <c r="A22" t="s">
        <v>253</v>
      </c>
      <c r="B22" s="20">
        <v>5799000000</v>
      </c>
      <c r="C22" s="20">
        <v>5632000000</v>
      </c>
      <c r="D22" s="20">
        <v>3031000000</v>
      </c>
      <c r="E22" s="20">
        <v>15552000000</v>
      </c>
      <c r="F22" s="20">
        <v>-11076000000</v>
      </c>
      <c r="G22" s="20">
        <v>13455000000</v>
      </c>
      <c r="I22" s="95" t="str">
        <f t="shared" si="6"/>
        <v xml:space="preserve">                Change in Other Current Liabilities</v>
      </c>
      <c r="J22" s="69">
        <f t="shared" si="0"/>
        <v>5799000000</v>
      </c>
      <c r="K22" s="69">
        <f t="shared" si="1"/>
        <v>5632000000</v>
      </c>
      <c r="L22" s="69">
        <f t="shared" si="2"/>
        <v>3031000000</v>
      </c>
      <c r="M22" s="69">
        <f t="shared" si="3"/>
        <v>15552000000</v>
      </c>
      <c r="N22" s="99">
        <f t="shared" si="4"/>
        <v>-11076000000</v>
      </c>
      <c r="O22" s="63">
        <f t="shared" si="5"/>
        <v>13455000000</v>
      </c>
    </row>
    <row r="23" spans="1:15" ht="15" thickBot="1" x14ac:dyDescent="0.4">
      <c r="A23" t="s">
        <v>254</v>
      </c>
      <c r="B23" s="20">
        <v>1676000000</v>
      </c>
      <c r="C23" s="20">
        <v>478000000</v>
      </c>
      <c r="D23" t="s">
        <v>192</v>
      </c>
      <c r="E23" t="s">
        <v>192</v>
      </c>
      <c r="F23" t="s">
        <v>192</v>
      </c>
      <c r="G23" t="s">
        <v>192</v>
      </c>
      <c r="I23" s="105" t="str">
        <f t="shared" si="6"/>
        <v xml:space="preserve">                Change in Deferred Assets/Liabilities</v>
      </c>
      <c r="J23" s="112">
        <f t="shared" si="0"/>
        <v>1676000000</v>
      </c>
      <c r="K23" s="112">
        <f t="shared" si="1"/>
        <v>478000000</v>
      </c>
      <c r="L23" s="113" t="str">
        <f t="shared" si="2"/>
        <v/>
      </c>
      <c r="M23" s="113" t="str">
        <f t="shared" si="3"/>
        <v/>
      </c>
      <c r="N23" s="114" t="str">
        <f t="shared" si="4"/>
        <v/>
      </c>
      <c r="O23" s="74" t="str">
        <f t="shared" si="5"/>
        <v/>
      </c>
    </row>
    <row r="24" spans="1:15" x14ac:dyDescent="0.35">
      <c r="A24" t="s">
        <v>255</v>
      </c>
      <c r="B24" s="20">
        <v>-14545000000</v>
      </c>
      <c r="C24" s="20">
        <v>-22354000000</v>
      </c>
      <c r="D24" s="20">
        <v>3705000000</v>
      </c>
      <c r="E24" s="20">
        <v>2935000000</v>
      </c>
      <c r="F24" s="20">
        <v>15195000000</v>
      </c>
      <c r="G24" s="20">
        <v>517000000</v>
      </c>
      <c r="I24" s="92" t="str">
        <f t="shared" si="6"/>
        <v>Cash Flow from Investing Activities</v>
      </c>
      <c r="J24" s="93">
        <f t="shared" si="0"/>
        <v>-14545000000</v>
      </c>
      <c r="K24" s="93">
        <f t="shared" si="1"/>
        <v>-22354000000</v>
      </c>
      <c r="L24" s="93">
        <f t="shared" si="2"/>
        <v>3705000000</v>
      </c>
      <c r="M24" s="93">
        <f t="shared" si="3"/>
        <v>2935000000</v>
      </c>
      <c r="N24" s="94">
        <f t="shared" si="4"/>
        <v>15195000000</v>
      </c>
      <c r="O24" s="63">
        <f t="shared" si="5"/>
        <v>517000000</v>
      </c>
    </row>
    <row r="25" spans="1:15" x14ac:dyDescent="0.35">
      <c r="A25" t="s">
        <v>256</v>
      </c>
      <c r="B25" s="20">
        <v>-14545000000</v>
      </c>
      <c r="C25" s="20">
        <v>-22354000000</v>
      </c>
      <c r="D25" s="20">
        <v>3705000000</v>
      </c>
      <c r="E25" s="20">
        <v>2935000000</v>
      </c>
      <c r="F25" s="20">
        <v>15195000000</v>
      </c>
      <c r="G25" s="20">
        <v>517000000</v>
      </c>
      <c r="I25" s="95" t="str">
        <f t="shared" si="6"/>
        <v xml:space="preserve">    Cash Flow from Continuing Investing Activities</v>
      </c>
      <c r="J25" s="63">
        <f t="shared" si="0"/>
        <v>-14545000000</v>
      </c>
      <c r="K25" s="63">
        <f t="shared" si="1"/>
        <v>-22354000000</v>
      </c>
      <c r="L25" s="63">
        <f t="shared" si="2"/>
        <v>3705000000</v>
      </c>
      <c r="M25" s="63">
        <f t="shared" si="3"/>
        <v>2935000000</v>
      </c>
      <c r="N25" s="96">
        <f t="shared" si="4"/>
        <v>15195000000</v>
      </c>
      <c r="O25" s="63">
        <f t="shared" si="5"/>
        <v>517000000</v>
      </c>
    </row>
    <row r="26" spans="1:15" x14ac:dyDescent="0.35">
      <c r="A26" t="s">
        <v>257</v>
      </c>
      <c r="B26" s="20">
        <v>-11085000000</v>
      </c>
      <c r="C26" s="20">
        <v>-10708000000</v>
      </c>
      <c r="D26" s="20">
        <v>-10959000000</v>
      </c>
      <c r="E26" s="20">
        <v>-9447000000</v>
      </c>
      <c r="F26" s="20">
        <v>-12715000000</v>
      </c>
      <c r="G26" s="20">
        <v>-12148000000</v>
      </c>
      <c r="I26" s="95" t="str">
        <f t="shared" si="6"/>
        <v xml:space="preserve">        Purchase/Sale and Disposal of Property, Plant and Equipment, Net</v>
      </c>
      <c r="J26" s="63">
        <f t="shared" si="0"/>
        <v>-11085000000</v>
      </c>
      <c r="K26" s="63">
        <f t="shared" si="1"/>
        <v>-10708000000</v>
      </c>
      <c r="L26" s="63">
        <f t="shared" si="2"/>
        <v>-10959000000</v>
      </c>
      <c r="M26" s="63">
        <f t="shared" si="3"/>
        <v>-9447000000</v>
      </c>
      <c r="N26" s="96">
        <f t="shared" si="4"/>
        <v>-12715000000</v>
      </c>
      <c r="O26" s="63">
        <f t="shared" si="5"/>
        <v>-12148000000</v>
      </c>
    </row>
    <row r="27" spans="1:15" x14ac:dyDescent="0.35">
      <c r="A27" t="s">
        <v>258</v>
      </c>
      <c r="B27" s="20">
        <v>-11085000000</v>
      </c>
      <c r="C27" s="20">
        <v>-10708000000</v>
      </c>
      <c r="D27" s="20">
        <v>-10959000000</v>
      </c>
      <c r="E27" s="20">
        <v>-9447000000</v>
      </c>
      <c r="F27" s="20">
        <v>-12715000000</v>
      </c>
      <c r="G27" s="20">
        <v>-12148000000</v>
      </c>
      <c r="I27" s="95" t="str">
        <f t="shared" si="6"/>
        <v xml:space="preserve">            Purchase of Property, Plant and Equipment</v>
      </c>
      <c r="J27" s="69">
        <f t="shared" si="0"/>
        <v>-11085000000</v>
      </c>
      <c r="K27" s="69">
        <f t="shared" si="1"/>
        <v>-10708000000</v>
      </c>
      <c r="L27" s="69">
        <f t="shared" si="2"/>
        <v>-10959000000</v>
      </c>
      <c r="M27" s="69">
        <f t="shared" si="3"/>
        <v>-9447000000</v>
      </c>
      <c r="N27" s="99">
        <f t="shared" si="4"/>
        <v>-12715000000</v>
      </c>
      <c r="O27" s="63">
        <f t="shared" si="5"/>
        <v>-12148000000</v>
      </c>
    </row>
    <row r="28" spans="1:15" x14ac:dyDescent="0.35">
      <c r="A28" t="s">
        <v>259</v>
      </c>
      <c r="B28" s="20">
        <v>-2819000000</v>
      </c>
      <c r="C28" s="20">
        <v>-9560000000</v>
      </c>
      <c r="D28" s="20">
        <v>16001000000</v>
      </c>
      <c r="E28" s="20">
        <v>13690000000</v>
      </c>
      <c r="F28" s="20">
        <v>29390000000</v>
      </c>
      <c r="G28" s="20">
        <v>13696000000</v>
      </c>
      <c r="I28" s="95" t="str">
        <f t="shared" si="6"/>
        <v xml:space="preserve">        Purchase/Sale of Investments, Net</v>
      </c>
      <c r="J28" s="63">
        <f t="shared" si="0"/>
        <v>-2819000000</v>
      </c>
      <c r="K28" s="63">
        <f t="shared" si="1"/>
        <v>-9560000000</v>
      </c>
      <c r="L28" s="63">
        <f t="shared" si="2"/>
        <v>16001000000</v>
      </c>
      <c r="M28" s="63">
        <f t="shared" si="3"/>
        <v>13690000000</v>
      </c>
      <c r="N28" s="96">
        <f t="shared" si="4"/>
        <v>29390000000</v>
      </c>
      <c r="O28" s="63">
        <f t="shared" si="5"/>
        <v>13696000000</v>
      </c>
    </row>
    <row r="29" spans="1:15" x14ac:dyDescent="0.35">
      <c r="A29" t="s">
        <v>260</v>
      </c>
      <c r="B29" s="20">
        <v>-109689000000</v>
      </c>
      <c r="C29" s="20">
        <v>-76923000000</v>
      </c>
      <c r="D29" s="20">
        <v>-29513000000</v>
      </c>
      <c r="E29" s="20">
        <v>-48656000000</v>
      </c>
      <c r="F29" s="20">
        <v>-24407000000</v>
      </c>
      <c r="G29" s="20">
        <v>-30976000000</v>
      </c>
      <c r="I29" s="95" t="str">
        <f t="shared" si="6"/>
        <v xml:space="preserve">            Purchase of Investments</v>
      </c>
      <c r="J29" s="69">
        <f t="shared" si="0"/>
        <v>-109689000000</v>
      </c>
      <c r="K29" s="69">
        <f t="shared" si="1"/>
        <v>-76923000000</v>
      </c>
      <c r="L29" s="69">
        <f t="shared" si="2"/>
        <v>-29513000000</v>
      </c>
      <c r="M29" s="69">
        <f t="shared" si="3"/>
        <v>-48656000000</v>
      </c>
      <c r="N29" s="99">
        <f t="shared" si="4"/>
        <v>-24407000000</v>
      </c>
      <c r="O29" s="63">
        <f t="shared" si="5"/>
        <v>-30976000000</v>
      </c>
    </row>
    <row r="30" spans="1:15" x14ac:dyDescent="0.35">
      <c r="A30" t="s">
        <v>261</v>
      </c>
      <c r="B30" s="20">
        <v>106870000000</v>
      </c>
      <c r="C30" s="20">
        <v>67363000000</v>
      </c>
      <c r="D30" s="20">
        <v>45514000000</v>
      </c>
      <c r="E30" s="20">
        <v>62346000000</v>
      </c>
      <c r="F30" s="20">
        <v>53797000000</v>
      </c>
      <c r="G30" s="20">
        <v>44672000000</v>
      </c>
      <c r="I30" s="95" t="str">
        <f t="shared" ref="I30:N30" si="7">A30</f>
        <v xml:space="preserve">            Sale of Investments</v>
      </c>
      <c r="J30" s="63">
        <f t="shared" si="7"/>
        <v>106870000000</v>
      </c>
      <c r="K30" s="63">
        <f t="shared" si="7"/>
        <v>67363000000</v>
      </c>
      <c r="L30" s="63">
        <f t="shared" si="7"/>
        <v>45514000000</v>
      </c>
      <c r="M30" s="63">
        <f t="shared" si="7"/>
        <v>62346000000</v>
      </c>
      <c r="N30" s="96">
        <f t="shared" si="7"/>
        <v>53797000000</v>
      </c>
    </row>
    <row r="31" spans="1:15" x14ac:dyDescent="0.35">
      <c r="A31" t="s">
        <v>262</v>
      </c>
      <c r="B31" s="20">
        <v>-608000000</v>
      </c>
      <c r="C31" s="20">
        <v>-1780000000</v>
      </c>
      <c r="D31" s="20">
        <v>-1337000000</v>
      </c>
      <c r="E31" s="20">
        <v>-1308000000</v>
      </c>
      <c r="F31" s="20">
        <v>-1480000000</v>
      </c>
      <c r="G31" s="20">
        <v>-1031000000</v>
      </c>
      <c r="I31" s="119" t="s">
        <v>294</v>
      </c>
      <c r="J31" s="122">
        <v>59023000000</v>
      </c>
      <c r="K31" s="123">
        <v>29917000000</v>
      </c>
      <c r="L31" s="123">
        <v>39686000000</v>
      </c>
      <c r="M31" s="123">
        <v>51211000000</v>
      </c>
      <c r="N31" s="124">
        <v>40907000000</v>
      </c>
      <c r="O31" s="41"/>
    </row>
    <row r="32" spans="1:15" x14ac:dyDescent="0.35">
      <c r="A32" t="s">
        <v>263</v>
      </c>
      <c r="B32" s="20">
        <v>-33000000</v>
      </c>
      <c r="C32" s="20">
        <v>-306000000</v>
      </c>
      <c r="D32" t="s">
        <v>192</v>
      </c>
      <c r="E32" t="s">
        <v>192</v>
      </c>
      <c r="F32" t="s">
        <v>192</v>
      </c>
      <c r="G32" t="s">
        <v>192</v>
      </c>
      <c r="I32" s="119" t="s">
        <v>293</v>
      </c>
      <c r="J32" s="125">
        <v>47847000000</v>
      </c>
      <c r="K32" s="126">
        <v>37446000000</v>
      </c>
      <c r="L32" s="126">
        <v>5828000000</v>
      </c>
      <c r="M32" s="126">
        <v>11135000000</v>
      </c>
      <c r="N32" s="127">
        <v>12890000000</v>
      </c>
      <c r="O32" s="41"/>
    </row>
    <row r="33" spans="1:16" x14ac:dyDescent="0.35">
      <c r="A33" t="s">
        <v>264</v>
      </c>
      <c r="B33" s="20">
        <v>-33000000</v>
      </c>
      <c r="C33" s="20">
        <v>-306000000</v>
      </c>
      <c r="D33" t="s">
        <v>192</v>
      </c>
      <c r="E33" t="s">
        <v>192</v>
      </c>
      <c r="F33" t="s">
        <v>192</v>
      </c>
      <c r="G33" t="s">
        <v>192</v>
      </c>
      <c r="I33" s="120" t="s">
        <v>289</v>
      </c>
      <c r="J33" s="145" t="b">
        <f>ABS(SUM(J31:J32))=ABS(J30)</f>
        <v>1</v>
      </c>
      <c r="K33" s="146" t="b">
        <f>ABS(SUM(K31:K32))=ABS(K30)</f>
        <v>1</v>
      </c>
      <c r="L33" s="146" t="b">
        <f>ABS(SUM(L31:L32))=ABS(L30)</f>
        <v>1</v>
      </c>
      <c r="M33" s="146" t="b">
        <f>ABS(SUM(M31:M32))=ABS(M30)</f>
        <v>1</v>
      </c>
      <c r="N33" s="148" t="b">
        <f>ABS(SUM(N31:N32))=ABS(N30)</f>
        <v>1</v>
      </c>
      <c r="O33" s="143"/>
      <c r="P33" s="144" t="b">
        <f>AND(J33:O33)</f>
        <v>1</v>
      </c>
    </row>
    <row r="34" spans="1:16" x14ac:dyDescent="0.35">
      <c r="A34" t="s">
        <v>265</v>
      </c>
      <c r="B34" t="s">
        <v>192</v>
      </c>
      <c r="C34" t="s">
        <v>192</v>
      </c>
      <c r="D34" t="s">
        <v>192</v>
      </c>
      <c r="E34" t="s">
        <v>192</v>
      </c>
      <c r="F34" t="s">
        <v>192</v>
      </c>
      <c r="G34" t="s">
        <v>192</v>
      </c>
      <c r="I34" s="95" t="str">
        <f t="shared" ref="I34:I52" si="8">A31</f>
        <v xml:space="preserve">        Other Investing Cash Flow</v>
      </c>
      <c r="J34" s="69">
        <f t="shared" ref="J34:J52" si="9">B31</f>
        <v>-608000000</v>
      </c>
      <c r="K34" s="69">
        <f t="shared" ref="K34:K52" si="10">C31</f>
        <v>-1780000000</v>
      </c>
      <c r="L34" s="69">
        <f t="shared" ref="L34:L52" si="11">D31</f>
        <v>-1337000000</v>
      </c>
      <c r="M34" s="69">
        <f t="shared" ref="M34:M52" si="12">E31</f>
        <v>-1308000000</v>
      </c>
      <c r="N34" s="99">
        <f t="shared" ref="N34:N52" si="13">F31</f>
        <v>-1480000000</v>
      </c>
      <c r="O34" s="74" t="str">
        <f t="shared" si="5"/>
        <v/>
      </c>
    </row>
    <row r="35" spans="1:16" x14ac:dyDescent="0.35">
      <c r="A35" t="s">
        <v>266</v>
      </c>
      <c r="B35" t="s">
        <v>192</v>
      </c>
      <c r="C35" t="s">
        <v>192</v>
      </c>
      <c r="D35" t="s">
        <v>192</v>
      </c>
      <c r="E35" t="s">
        <v>192</v>
      </c>
      <c r="F35" t="s">
        <v>192</v>
      </c>
      <c r="G35" t="s">
        <v>192</v>
      </c>
      <c r="I35" s="95" t="str">
        <f t="shared" si="8"/>
        <v xml:space="preserve">        Purchase/Sale of Business, Net</v>
      </c>
      <c r="J35" s="63">
        <f t="shared" si="9"/>
        <v>-33000000</v>
      </c>
      <c r="K35" s="63">
        <f t="shared" si="10"/>
        <v>-306000000</v>
      </c>
      <c r="L35" s="74" t="str">
        <f t="shared" si="11"/>
        <v/>
      </c>
      <c r="M35" s="74" t="str">
        <f t="shared" si="12"/>
        <v/>
      </c>
      <c r="N35" s="109" t="str">
        <f t="shared" si="13"/>
        <v/>
      </c>
      <c r="O35" s="74" t="str">
        <f t="shared" si="5"/>
        <v/>
      </c>
    </row>
    <row r="36" spans="1:16" x14ac:dyDescent="0.35">
      <c r="A36" t="s">
        <v>267</v>
      </c>
      <c r="B36" s="20">
        <v>-93353000000</v>
      </c>
      <c r="C36" s="20">
        <v>-110749000000</v>
      </c>
      <c r="D36" s="20">
        <v>-108488000000</v>
      </c>
      <c r="E36" s="20">
        <v>-121983000000</v>
      </c>
      <c r="F36" s="20">
        <v>-120686000000</v>
      </c>
      <c r="G36" s="20">
        <v>-120971000000</v>
      </c>
      <c r="I36" s="95" t="str">
        <f t="shared" si="8"/>
        <v xml:space="preserve">            Purchase/Acquisition of Business</v>
      </c>
      <c r="J36" s="69">
        <f t="shared" si="9"/>
        <v>-33000000</v>
      </c>
      <c r="K36" s="69">
        <f t="shared" si="10"/>
        <v>-306000000</v>
      </c>
      <c r="L36" s="76" t="str">
        <f t="shared" si="11"/>
        <v/>
      </c>
      <c r="M36" s="76" t="str">
        <f t="shared" si="12"/>
        <v/>
      </c>
      <c r="N36" s="100" t="str">
        <f t="shared" si="13"/>
        <v/>
      </c>
      <c r="O36" s="63">
        <f t="shared" si="5"/>
        <v>-120971000000</v>
      </c>
    </row>
    <row r="37" spans="1:16" x14ac:dyDescent="0.35">
      <c r="A37" t="s">
        <v>268</v>
      </c>
      <c r="B37" s="20">
        <v>-93353000000</v>
      </c>
      <c r="C37" s="20">
        <v>-110749000000</v>
      </c>
      <c r="D37" s="20">
        <v>-108488000000</v>
      </c>
      <c r="E37" s="20">
        <v>-121983000000</v>
      </c>
      <c r="F37" s="20">
        <v>-120686000000</v>
      </c>
      <c r="G37" s="20">
        <v>-120971000000</v>
      </c>
      <c r="I37" s="95" t="str">
        <f t="shared" si="8"/>
        <v xml:space="preserve">        Purchase/Sale of Intangibles, Net</v>
      </c>
      <c r="J37" s="74" t="str">
        <f t="shared" si="9"/>
        <v/>
      </c>
      <c r="K37" s="74" t="str">
        <f t="shared" si="10"/>
        <v/>
      </c>
      <c r="L37" s="74" t="str">
        <f t="shared" si="11"/>
        <v/>
      </c>
      <c r="M37" s="74" t="str">
        <f t="shared" si="12"/>
        <v/>
      </c>
      <c r="N37" s="109" t="str">
        <f t="shared" si="13"/>
        <v/>
      </c>
      <c r="O37" s="63">
        <f t="shared" si="5"/>
        <v>-120971000000</v>
      </c>
    </row>
    <row r="38" spans="1:16" ht="15" thickBot="1" x14ac:dyDescent="0.4">
      <c r="A38" t="s">
        <v>269</v>
      </c>
      <c r="B38" s="20">
        <v>-84866000000</v>
      </c>
      <c r="C38" s="20">
        <v>-89402000000</v>
      </c>
      <c r="D38" s="20">
        <v>-77550000000</v>
      </c>
      <c r="E38" s="20">
        <v>-94949000000</v>
      </c>
      <c r="F38" s="20">
        <v>-90711000000</v>
      </c>
      <c r="G38" s="20">
        <v>-91806000000</v>
      </c>
      <c r="I38" s="105" t="str">
        <f t="shared" si="8"/>
        <v xml:space="preserve">            Purchase of Intangibles</v>
      </c>
      <c r="J38" s="107" t="str">
        <f t="shared" si="9"/>
        <v/>
      </c>
      <c r="K38" s="107" t="str">
        <f t="shared" si="10"/>
        <v/>
      </c>
      <c r="L38" s="107" t="str">
        <f t="shared" si="11"/>
        <v/>
      </c>
      <c r="M38" s="107" t="str">
        <f t="shared" si="12"/>
        <v/>
      </c>
      <c r="N38" s="108" t="str">
        <f t="shared" si="13"/>
        <v/>
      </c>
      <c r="O38" s="63">
        <f t="shared" si="5"/>
        <v>-91806000000</v>
      </c>
    </row>
    <row r="39" spans="1:16" x14ac:dyDescent="0.35">
      <c r="A39" t="s">
        <v>270</v>
      </c>
      <c r="B39" s="20">
        <v>-85971000000</v>
      </c>
      <c r="C39" s="20">
        <v>-89402000000</v>
      </c>
      <c r="D39" s="20">
        <v>-77550000000</v>
      </c>
      <c r="E39" s="20">
        <v>-94949000000</v>
      </c>
      <c r="F39" s="20">
        <v>-90711000000</v>
      </c>
      <c r="G39" s="20">
        <v>-91806000000</v>
      </c>
      <c r="I39" s="92" t="str">
        <f t="shared" si="8"/>
        <v>Cash Flow from Financing Activities</v>
      </c>
      <c r="J39" s="93">
        <f t="shared" si="9"/>
        <v>-93353000000</v>
      </c>
      <c r="K39" s="93">
        <f t="shared" si="10"/>
        <v>-110749000000</v>
      </c>
      <c r="L39" s="93">
        <f t="shared" si="11"/>
        <v>-108488000000</v>
      </c>
      <c r="M39" s="93">
        <f t="shared" si="12"/>
        <v>-121983000000</v>
      </c>
      <c r="N39" s="94">
        <f t="shared" si="13"/>
        <v>-120686000000</v>
      </c>
      <c r="O39" s="63">
        <f t="shared" si="5"/>
        <v>-91806000000</v>
      </c>
    </row>
    <row r="40" spans="1:16" x14ac:dyDescent="0.35">
      <c r="A40" t="s">
        <v>271</v>
      </c>
      <c r="B40" s="20">
        <v>1105000000</v>
      </c>
      <c r="C40" t="s">
        <v>192</v>
      </c>
      <c r="D40" t="s">
        <v>192</v>
      </c>
      <c r="E40" t="s">
        <v>192</v>
      </c>
      <c r="F40" t="s">
        <v>192</v>
      </c>
      <c r="G40" t="s">
        <v>192</v>
      </c>
      <c r="I40" s="95" t="str">
        <f t="shared" si="8"/>
        <v xml:space="preserve">    Cash Flow from Continuing Financing Activities</v>
      </c>
      <c r="J40" s="63">
        <f t="shared" si="9"/>
        <v>-93353000000</v>
      </c>
      <c r="K40" s="63">
        <f t="shared" si="10"/>
        <v>-110749000000</v>
      </c>
      <c r="L40" s="63">
        <f t="shared" si="11"/>
        <v>-108488000000</v>
      </c>
      <c r="M40" s="63">
        <f t="shared" si="12"/>
        <v>-121983000000</v>
      </c>
      <c r="N40" s="96">
        <f t="shared" si="13"/>
        <v>-120686000000</v>
      </c>
      <c r="O40" s="74" t="str">
        <f t="shared" si="5"/>
        <v/>
      </c>
    </row>
    <row r="41" spans="1:16" x14ac:dyDescent="0.35">
      <c r="A41" t="s">
        <v>272</v>
      </c>
      <c r="B41" s="20">
        <v>12665000000</v>
      </c>
      <c r="C41" s="20">
        <v>-123000000</v>
      </c>
      <c r="D41" s="20">
        <v>-9901000000</v>
      </c>
      <c r="E41" s="20">
        <v>-5998000000</v>
      </c>
      <c r="F41" s="20">
        <v>-8483000000</v>
      </c>
      <c r="G41" s="20">
        <v>-7604000000</v>
      </c>
      <c r="I41" s="95" t="str">
        <f t="shared" si="8"/>
        <v xml:space="preserve">        Issuance of/Payments for Common Stock, Net</v>
      </c>
      <c r="J41" s="69">
        <f t="shared" si="9"/>
        <v>-84866000000</v>
      </c>
      <c r="K41" s="69">
        <f t="shared" si="10"/>
        <v>-89402000000</v>
      </c>
      <c r="L41" s="69">
        <f t="shared" si="11"/>
        <v>-77550000000</v>
      </c>
      <c r="M41" s="69">
        <f t="shared" si="12"/>
        <v>-94949000000</v>
      </c>
      <c r="N41" s="99">
        <f t="shared" si="13"/>
        <v>-90711000000</v>
      </c>
      <c r="O41" s="63">
        <f t="shared" si="5"/>
        <v>-7604000000</v>
      </c>
    </row>
    <row r="42" spans="1:16" x14ac:dyDescent="0.35">
      <c r="A42" t="s">
        <v>273</v>
      </c>
      <c r="B42" s="20">
        <v>1022000000</v>
      </c>
      <c r="C42" s="20">
        <v>3955000000</v>
      </c>
      <c r="D42" s="20">
        <v>-3978000000</v>
      </c>
      <c r="E42" s="20">
        <v>3960000000</v>
      </c>
      <c r="F42" s="20">
        <v>-2032000000</v>
      </c>
      <c r="G42" s="20">
        <v>2000000</v>
      </c>
      <c r="I42" s="95" t="str">
        <f t="shared" si="8"/>
        <v xml:space="preserve">            Payments for Common Stock</v>
      </c>
      <c r="J42" s="63">
        <f t="shared" si="9"/>
        <v>-85971000000</v>
      </c>
      <c r="K42" s="63">
        <f t="shared" si="10"/>
        <v>-89402000000</v>
      </c>
      <c r="L42" s="63">
        <f t="shared" si="11"/>
        <v>-77550000000</v>
      </c>
      <c r="M42" s="63">
        <f t="shared" si="12"/>
        <v>-94949000000</v>
      </c>
      <c r="N42" s="96">
        <f t="shared" si="13"/>
        <v>-90711000000</v>
      </c>
      <c r="O42" s="63">
        <f t="shared" si="5"/>
        <v>2000000</v>
      </c>
    </row>
    <row r="43" spans="1:16" x14ac:dyDescent="0.35">
      <c r="A43" t="s">
        <v>274</v>
      </c>
      <c r="B43" s="20">
        <v>11643000000</v>
      </c>
      <c r="C43" s="20">
        <v>-4078000000</v>
      </c>
      <c r="D43" s="20">
        <v>-5923000000</v>
      </c>
      <c r="E43" s="20">
        <v>-9958000000</v>
      </c>
      <c r="F43" s="20">
        <v>-6451000000</v>
      </c>
      <c r="G43" s="20">
        <v>-7606000000</v>
      </c>
      <c r="I43" s="95" t="str">
        <f t="shared" si="8"/>
        <v xml:space="preserve">            Proceeds from Issuance of Common Stock</v>
      </c>
      <c r="J43" s="63">
        <f t="shared" si="9"/>
        <v>1105000000</v>
      </c>
      <c r="K43" s="74" t="str">
        <f t="shared" si="10"/>
        <v/>
      </c>
      <c r="L43" s="74" t="str">
        <f t="shared" si="11"/>
        <v/>
      </c>
      <c r="M43" s="74" t="str">
        <f t="shared" si="12"/>
        <v/>
      </c>
      <c r="N43" s="109" t="str">
        <f t="shared" si="13"/>
        <v/>
      </c>
      <c r="O43" s="63">
        <f t="shared" si="5"/>
        <v>-7606000000</v>
      </c>
    </row>
    <row r="44" spans="1:16" x14ac:dyDescent="0.35">
      <c r="A44" t="s">
        <v>275</v>
      </c>
      <c r="B44" s="20">
        <v>20393000000</v>
      </c>
      <c r="C44" s="20">
        <v>5465000000</v>
      </c>
      <c r="D44" s="20">
        <v>5228000000</v>
      </c>
      <c r="E44" s="20">
        <v>0</v>
      </c>
      <c r="F44" s="20">
        <v>4481000000</v>
      </c>
      <c r="G44" t="s">
        <v>192</v>
      </c>
      <c r="I44" s="95" t="str">
        <f t="shared" si="8"/>
        <v xml:space="preserve">        Issuance of/Repayments for Debt, Net</v>
      </c>
      <c r="J44" s="63">
        <f t="shared" si="9"/>
        <v>12665000000</v>
      </c>
      <c r="K44" s="63">
        <f t="shared" si="10"/>
        <v>-123000000</v>
      </c>
      <c r="L44" s="63">
        <f t="shared" si="11"/>
        <v>-9901000000</v>
      </c>
      <c r="M44" s="63">
        <f t="shared" si="12"/>
        <v>-5998000000</v>
      </c>
      <c r="N44" s="96">
        <f t="shared" si="13"/>
        <v>-8483000000</v>
      </c>
      <c r="O44" s="74" t="str">
        <f t="shared" si="5"/>
        <v/>
      </c>
    </row>
    <row r="45" spans="1:16" x14ac:dyDescent="0.35">
      <c r="A45" t="s">
        <v>276</v>
      </c>
      <c r="B45" s="20">
        <v>-8750000000</v>
      </c>
      <c r="C45" s="20">
        <v>-9543000000</v>
      </c>
      <c r="D45" s="20">
        <v>-11151000000</v>
      </c>
      <c r="E45" s="20">
        <v>-9958000000</v>
      </c>
      <c r="F45" s="20">
        <v>-10932000000</v>
      </c>
      <c r="G45" s="20">
        <v>-12087000000</v>
      </c>
      <c r="I45" s="95" t="str">
        <f t="shared" si="8"/>
        <v xml:space="preserve">            Issuance of/Repayments for Short Term Debt, Net</v>
      </c>
      <c r="J45" s="69">
        <f t="shared" si="9"/>
        <v>1022000000</v>
      </c>
      <c r="K45" s="69">
        <f t="shared" si="10"/>
        <v>3955000000</v>
      </c>
      <c r="L45" s="69">
        <f t="shared" si="11"/>
        <v>-3978000000</v>
      </c>
      <c r="M45" s="69">
        <f t="shared" si="12"/>
        <v>3960000000</v>
      </c>
      <c r="N45" s="99">
        <f t="shared" si="13"/>
        <v>-2032000000</v>
      </c>
      <c r="O45" s="63">
        <f t="shared" si="5"/>
        <v>-12087000000</v>
      </c>
    </row>
    <row r="46" spans="1:16" x14ac:dyDescent="0.35">
      <c r="A46" t="s">
        <v>277</v>
      </c>
      <c r="B46" s="20">
        <v>-14467000000</v>
      </c>
      <c r="C46" s="20">
        <v>-14841000000</v>
      </c>
      <c r="D46" s="20">
        <v>-15025000000</v>
      </c>
      <c r="E46" s="20">
        <v>-15234000000</v>
      </c>
      <c r="F46" s="20">
        <v>-15421000000</v>
      </c>
      <c r="G46" s="20">
        <v>-15486000000</v>
      </c>
      <c r="I46" s="95" t="str">
        <f t="shared" si="8"/>
        <v xml:space="preserve">            Issuance of/Repayments for Long Term Debt, Net</v>
      </c>
      <c r="J46" s="63">
        <f t="shared" si="9"/>
        <v>11643000000</v>
      </c>
      <c r="K46" s="63">
        <f t="shared" si="10"/>
        <v>-4078000000</v>
      </c>
      <c r="L46" s="63">
        <f t="shared" si="11"/>
        <v>-5923000000</v>
      </c>
      <c r="M46" s="63">
        <f t="shared" si="12"/>
        <v>-9958000000</v>
      </c>
      <c r="N46" s="96">
        <f t="shared" si="13"/>
        <v>-6451000000</v>
      </c>
      <c r="O46" s="63">
        <f t="shared" si="5"/>
        <v>-15486000000</v>
      </c>
    </row>
    <row r="47" spans="1:16" x14ac:dyDescent="0.35">
      <c r="A47" t="s">
        <v>278</v>
      </c>
      <c r="B47" s="20">
        <v>-14467000000</v>
      </c>
      <c r="C47" s="20">
        <v>-14841000000</v>
      </c>
      <c r="D47" s="20">
        <v>-15025000000</v>
      </c>
      <c r="E47" s="20">
        <v>-15234000000</v>
      </c>
      <c r="F47" s="20">
        <v>-15421000000</v>
      </c>
      <c r="G47" s="20">
        <v>-15486000000</v>
      </c>
      <c r="I47" s="95" t="str">
        <f t="shared" si="8"/>
        <v xml:space="preserve">                Proceeds from Issuance of Long Term Debt</v>
      </c>
      <c r="J47" s="69">
        <f t="shared" si="9"/>
        <v>20393000000</v>
      </c>
      <c r="K47" s="69">
        <f t="shared" si="10"/>
        <v>5465000000</v>
      </c>
      <c r="L47" s="69">
        <f t="shared" si="11"/>
        <v>5228000000</v>
      </c>
      <c r="M47" s="69">
        <f t="shared" si="12"/>
        <v>0</v>
      </c>
      <c r="N47" s="99">
        <f t="shared" si="13"/>
        <v>4481000000</v>
      </c>
      <c r="O47" s="63">
        <f t="shared" si="5"/>
        <v>-15486000000</v>
      </c>
    </row>
    <row r="48" spans="1:16" x14ac:dyDescent="0.35">
      <c r="A48" t="s">
        <v>279</v>
      </c>
      <c r="B48" s="20">
        <v>-14467000000</v>
      </c>
      <c r="C48" t="s">
        <v>192</v>
      </c>
      <c r="D48" s="20">
        <v>-15025000000</v>
      </c>
      <c r="E48" s="20">
        <v>-15234000000</v>
      </c>
      <c r="F48" s="20">
        <v>-15421000000</v>
      </c>
      <c r="G48" s="20">
        <v>-15486000000</v>
      </c>
      <c r="I48" s="95" t="str">
        <f t="shared" si="8"/>
        <v xml:space="preserve">                Repayments for Long Term Debt</v>
      </c>
      <c r="J48" s="69">
        <f t="shared" si="9"/>
        <v>-8750000000</v>
      </c>
      <c r="K48" s="69">
        <f t="shared" si="10"/>
        <v>-9543000000</v>
      </c>
      <c r="L48" s="69">
        <f t="shared" si="11"/>
        <v>-11151000000</v>
      </c>
      <c r="M48" s="69">
        <f t="shared" si="12"/>
        <v>-9958000000</v>
      </c>
      <c r="N48" s="99">
        <f t="shared" si="13"/>
        <v>-10932000000</v>
      </c>
      <c r="O48" s="63">
        <f t="shared" si="5"/>
        <v>-15486000000</v>
      </c>
    </row>
    <row r="49" spans="1:16" x14ac:dyDescent="0.35">
      <c r="A49" t="s">
        <v>280</v>
      </c>
      <c r="B49" s="20">
        <v>-6685000000</v>
      </c>
      <c r="C49" s="20">
        <v>-6383000000</v>
      </c>
      <c r="D49" s="20">
        <v>-6012000000</v>
      </c>
      <c r="E49" s="20">
        <v>-5802000000</v>
      </c>
      <c r="F49" s="20">
        <v>-6071000000</v>
      </c>
      <c r="G49" s="20">
        <v>-6075000000</v>
      </c>
      <c r="I49" s="95" t="str">
        <f t="shared" si="8"/>
        <v xml:space="preserve">        Cash Dividends and Interest Paid</v>
      </c>
      <c r="J49" s="69">
        <f t="shared" si="9"/>
        <v>-14467000000</v>
      </c>
      <c r="K49" s="69">
        <f t="shared" si="10"/>
        <v>-14841000000</v>
      </c>
      <c r="L49" s="69">
        <f t="shared" si="11"/>
        <v>-15025000000</v>
      </c>
      <c r="M49" s="69">
        <f t="shared" si="12"/>
        <v>-15234000000</v>
      </c>
      <c r="N49" s="99">
        <f t="shared" si="13"/>
        <v>-15421000000</v>
      </c>
      <c r="O49" s="63">
        <f t="shared" si="5"/>
        <v>-6075000000</v>
      </c>
    </row>
    <row r="50" spans="1:16" x14ac:dyDescent="0.35">
      <c r="A50" t="s">
        <v>281</v>
      </c>
      <c r="B50" t="s">
        <v>192</v>
      </c>
      <c r="C50" t="s">
        <v>192</v>
      </c>
      <c r="D50" t="s">
        <v>192</v>
      </c>
      <c r="E50" t="s">
        <v>192</v>
      </c>
      <c r="F50" t="s">
        <v>192</v>
      </c>
      <c r="G50" t="s">
        <v>192</v>
      </c>
      <c r="I50" s="95" t="str">
        <f t="shared" si="8"/>
        <v xml:space="preserve">            Cash Dividends Paid</v>
      </c>
      <c r="J50" s="63">
        <f t="shared" si="9"/>
        <v>-14467000000</v>
      </c>
      <c r="K50" s="63">
        <f t="shared" si="10"/>
        <v>-14841000000</v>
      </c>
      <c r="L50" s="63">
        <f t="shared" si="11"/>
        <v>-15025000000</v>
      </c>
      <c r="M50" s="63">
        <f t="shared" si="12"/>
        <v>-15234000000</v>
      </c>
      <c r="N50" s="96">
        <f t="shared" si="13"/>
        <v>-15421000000</v>
      </c>
      <c r="O50" s="74" t="str">
        <f t="shared" si="5"/>
        <v/>
      </c>
    </row>
    <row r="51" spans="1:16" x14ac:dyDescent="0.35">
      <c r="A51" t="s">
        <v>282</v>
      </c>
      <c r="B51" s="20">
        <v>35929000000</v>
      </c>
      <c r="C51" s="20">
        <v>24977000000</v>
      </c>
      <c r="D51" s="20">
        <v>30737000000</v>
      </c>
      <c r="E51" s="20">
        <v>29943000000</v>
      </c>
      <c r="F51" s="20">
        <v>35934000000</v>
      </c>
      <c r="G51" s="20">
        <v>45317000000</v>
      </c>
      <c r="I51" s="95" t="str">
        <f t="shared" si="8"/>
        <v xml:space="preserve">                Common Stock Dividends Paid</v>
      </c>
      <c r="J51" s="63">
        <f t="shared" si="9"/>
        <v>-14467000000</v>
      </c>
      <c r="K51" s="74" t="str">
        <f t="shared" si="10"/>
        <v/>
      </c>
      <c r="L51" s="63">
        <f t="shared" si="11"/>
        <v>-15025000000</v>
      </c>
      <c r="M51" s="63">
        <f t="shared" si="12"/>
        <v>-15234000000</v>
      </c>
      <c r="N51" s="96">
        <f t="shared" si="13"/>
        <v>-15421000000</v>
      </c>
      <c r="O51" s="63">
        <f t="shared" si="5"/>
        <v>45317000000</v>
      </c>
    </row>
    <row r="52" spans="1:16" x14ac:dyDescent="0.35">
      <c r="A52" t="s">
        <v>283</v>
      </c>
      <c r="B52" s="20">
        <v>-3860000000</v>
      </c>
      <c r="C52" s="20">
        <v>-10952000000</v>
      </c>
      <c r="D52" s="20">
        <v>5760000000</v>
      </c>
      <c r="E52" s="20">
        <v>-794000000</v>
      </c>
      <c r="F52" s="20">
        <v>5991000000</v>
      </c>
      <c r="G52" s="20">
        <v>15018000000</v>
      </c>
      <c r="I52" s="95" t="str">
        <f t="shared" si="8"/>
        <v xml:space="preserve">        Other Financing Cash Flow</v>
      </c>
      <c r="J52" s="69">
        <f t="shared" si="9"/>
        <v>-6685000000</v>
      </c>
      <c r="K52" s="69">
        <f t="shared" si="10"/>
        <v>-6383000000</v>
      </c>
      <c r="L52" s="69">
        <f t="shared" si="11"/>
        <v>-6012000000</v>
      </c>
      <c r="M52" s="69">
        <f t="shared" si="12"/>
        <v>-5802000000</v>
      </c>
      <c r="N52" s="99">
        <f t="shared" si="13"/>
        <v>-6071000000</v>
      </c>
      <c r="O52" s="63">
        <f t="shared" si="5"/>
        <v>15018000000</v>
      </c>
    </row>
    <row r="53" spans="1:16" x14ac:dyDescent="0.35">
      <c r="A53" t="s">
        <v>284</v>
      </c>
      <c r="B53" s="20">
        <v>39789000000</v>
      </c>
      <c r="C53" s="20">
        <v>35929000000</v>
      </c>
      <c r="D53" s="20">
        <v>24977000000</v>
      </c>
      <c r="E53" s="20">
        <v>30737000000</v>
      </c>
      <c r="F53" s="20">
        <v>29943000000</v>
      </c>
      <c r="G53" s="20">
        <v>30299000000</v>
      </c>
      <c r="I53" s="119" t="s">
        <v>296</v>
      </c>
      <c r="J53" s="122">
        <v>6685000000</v>
      </c>
      <c r="K53" s="123">
        <v>6223000000</v>
      </c>
      <c r="L53" s="123">
        <v>5431000000</v>
      </c>
      <c r="M53" s="123">
        <v>5441000000</v>
      </c>
      <c r="N53" s="124">
        <v>5960000000</v>
      </c>
      <c r="O53" s="41"/>
    </row>
    <row r="54" spans="1:16" x14ac:dyDescent="0.35">
      <c r="A54" t="s">
        <v>285</v>
      </c>
      <c r="B54" t="s">
        <v>192</v>
      </c>
      <c r="C54" t="s">
        <v>192</v>
      </c>
      <c r="D54" t="s">
        <v>192</v>
      </c>
      <c r="E54" t="s">
        <v>192</v>
      </c>
      <c r="F54" t="s">
        <v>192</v>
      </c>
      <c r="G54" t="s">
        <v>192</v>
      </c>
      <c r="I54" s="119" t="s">
        <v>297</v>
      </c>
      <c r="J54" s="125">
        <v>0</v>
      </c>
      <c r="K54" s="126">
        <v>160000000</v>
      </c>
      <c r="L54" s="126">
        <v>581000000</v>
      </c>
      <c r="M54" s="126">
        <v>361000000</v>
      </c>
      <c r="N54" s="127">
        <v>111000000</v>
      </c>
      <c r="O54" s="41"/>
    </row>
    <row r="55" spans="1:16" x14ac:dyDescent="0.35">
      <c r="A55" t="s">
        <v>286</v>
      </c>
      <c r="B55" s="20">
        <v>-3860000000</v>
      </c>
      <c r="C55" s="20">
        <v>-10952000000</v>
      </c>
      <c r="D55" s="20">
        <v>5760000000</v>
      </c>
      <c r="E55" s="20">
        <v>-794000000</v>
      </c>
      <c r="F55" s="20">
        <v>5991000000</v>
      </c>
      <c r="G55" s="20">
        <v>15018000000</v>
      </c>
      <c r="I55" s="120" t="s">
        <v>289</v>
      </c>
      <c r="J55" s="145" t="b">
        <f>ABS(SUM(J53:J54))=ABS(J52)</f>
        <v>1</v>
      </c>
      <c r="K55" s="146" t="b">
        <f>ABS(SUM(K53:K54))=ABS(K52)</f>
        <v>1</v>
      </c>
      <c r="L55" s="146" t="b">
        <f>ABS(SUM(L53:L54))=ABS(L52)</f>
        <v>1</v>
      </c>
      <c r="M55" s="146" t="b">
        <f>ABS(SUM(M53:M54))=ABS(M52)</f>
        <v>1</v>
      </c>
      <c r="N55" s="148" t="b">
        <f>ABS(SUM(N53:N54))=ABS(N52)</f>
        <v>1</v>
      </c>
      <c r="O55" s="143"/>
      <c r="P55" s="144" t="b">
        <f>AND(J55:O55)</f>
        <v>1</v>
      </c>
    </row>
    <row r="56" spans="1:16" ht="15" thickBot="1" x14ac:dyDescent="0.4">
      <c r="A56" t="s">
        <v>287</v>
      </c>
      <c r="B56" s="20">
        <v>-25385000000</v>
      </c>
      <c r="C56" s="20">
        <v>-19573000000</v>
      </c>
      <c r="D56" s="20">
        <v>-18679000000</v>
      </c>
      <c r="E56" s="20">
        <v>-26102000000</v>
      </c>
      <c r="F56" s="20">
        <v>-43369000000</v>
      </c>
      <c r="G56" s="20">
        <v>-28152000000</v>
      </c>
      <c r="I56" s="105" t="str">
        <f t="shared" ref="I56:N63" si="14">A50</f>
        <v xml:space="preserve">        Excess Tax Benefit from Share-Based Compensation, Financing Activities</v>
      </c>
      <c r="J56" s="107" t="str">
        <f t="shared" si="14"/>
        <v/>
      </c>
      <c r="K56" s="107" t="str">
        <f t="shared" si="14"/>
        <v/>
      </c>
      <c r="L56" s="107" t="str">
        <f t="shared" si="14"/>
        <v/>
      </c>
      <c r="M56" s="107" t="str">
        <f t="shared" si="14"/>
        <v/>
      </c>
      <c r="N56" s="108" t="str">
        <f t="shared" si="14"/>
        <v/>
      </c>
      <c r="O56" s="63">
        <f>G53</f>
        <v>30299000000</v>
      </c>
    </row>
    <row r="57" spans="1:16" x14ac:dyDescent="0.35">
      <c r="A57" t="s">
        <v>288</v>
      </c>
      <c r="B57" s="20">
        <v>-2687000000</v>
      </c>
      <c r="C57" s="20">
        <v>-2865000000</v>
      </c>
      <c r="D57" s="20">
        <v>-3803000000</v>
      </c>
      <c r="E57" t="s">
        <v>192</v>
      </c>
      <c r="F57" t="s">
        <v>192</v>
      </c>
      <c r="G57" t="s">
        <v>192</v>
      </c>
      <c r="I57" s="92" t="str">
        <f t="shared" si="14"/>
        <v>Cash and Cash Equivalents, End of Period</v>
      </c>
      <c r="J57" s="93">
        <f t="shared" si="14"/>
        <v>35929000000</v>
      </c>
      <c r="K57" s="93">
        <f t="shared" si="14"/>
        <v>24977000000</v>
      </c>
      <c r="L57" s="93">
        <f t="shared" si="14"/>
        <v>30737000000</v>
      </c>
      <c r="M57" s="93">
        <f t="shared" si="14"/>
        <v>29943000000</v>
      </c>
      <c r="N57" s="94">
        <f t="shared" si="14"/>
        <v>35934000000</v>
      </c>
      <c r="O57" s="74" t="str">
        <f>G54</f>
        <v/>
      </c>
    </row>
    <row r="58" spans="1:16" x14ac:dyDescent="0.35">
      <c r="A58" t="s">
        <v>220</v>
      </c>
      <c r="I58" s="95" t="str">
        <f t="shared" si="14"/>
        <v xml:space="preserve">    Change in Cash</v>
      </c>
      <c r="J58" s="63">
        <f t="shared" si="14"/>
        <v>-3860000000</v>
      </c>
      <c r="K58" s="63">
        <f t="shared" si="14"/>
        <v>-10952000000</v>
      </c>
      <c r="L58" s="63">
        <f t="shared" si="14"/>
        <v>5760000000</v>
      </c>
      <c r="M58" s="63">
        <f t="shared" si="14"/>
        <v>-794000000</v>
      </c>
      <c r="N58" s="96">
        <f t="shared" si="14"/>
        <v>5991000000</v>
      </c>
      <c r="O58" s="63">
        <f>G55</f>
        <v>15018000000</v>
      </c>
    </row>
    <row r="59" spans="1:16" x14ac:dyDescent="0.35">
      <c r="I59" s="95" t="str">
        <f t="shared" si="14"/>
        <v xml:space="preserve">    Cash and Cash Equivalents, Beginning of Period</v>
      </c>
      <c r="J59" s="63">
        <f t="shared" si="14"/>
        <v>39789000000</v>
      </c>
      <c r="K59" s="63">
        <f t="shared" si="14"/>
        <v>35929000000</v>
      </c>
      <c r="L59" s="63">
        <f t="shared" si="14"/>
        <v>24977000000</v>
      </c>
      <c r="M59" s="63">
        <f t="shared" si="14"/>
        <v>30737000000</v>
      </c>
      <c r="N59" s="96">
        <f t="shared" si="14"/>
        <v>29943000000</v>
      </c>
      <c r="O59" s="63">
        <f>G56</f>
        <v>-28152000000</v>
      </c>
    </row>
    <row r="60" spans="1:16" x14ac:dyDescent="0.35">
      <c r="I60" s="95" t="str">
        <f t="shared" si="14"/>
        <v>Cash Flow Supplemental Section</v>
      </c>
      <c r="J60" s="74" t="str">
        <f t="shared" si="14"/>
        <v/>
      </c>
      <c r="K60" s="74" t="str">
        <f t="shared" si="14"/>
        <v/>
      </c>
      <c r="L60" s="74" t="str">
        <f t="shared" si="14"/>
        <v/>
      </c>
      <c r="M60" s="74" t="str">
        <f t="shared" si="14"/>
        <v/>
      </c>
      <c r="N60" s="109" t="str">
        <f t="shared" si="14"/>
        <v/>
      </c>
      <c r="O60" s="74" t="str">
        <f>G57</f>
        <v/>
      </c>
    </row>
    <row r="61" spans="1:16" x14ac:dyDescent="0.35">
      <c r="I61" s="95" t="str">
        <f t="shared" si="14"/>
        <v xml:space="preserve">    Change in Cash as Reported, Supplemental</v>
      </c>
      <c r="J61" s="63">
        <f t="shared" si="14"/>
        <v>-3860000000</v>
      </c>
      <c r="K61" s="63">
        <f t="shared" si="14"/>
        <v>-10952000000</v>
      </c>
      <c r="L61" s="63">
        <f t="shared" si="14"/>
        <v>5760000000</v>
      </c>
      <c r="M61" s="63">
        <f t="shared" si="14"/>
        <v>-794000000</v>
      </c>
      <c r="N61" s="96">
        <f t="shared" si="14"/>
        <v>5991000000</v>
      </c>
      <c r="O61" s="74"/>
    </row>
    <row r="62" spans="1:16" x14ac:dyDescent="0.35">
      <c r="I62" s="95" t="str">
        <f t="shared" si="14"/>
        <v xml:space="preserve">    Income Tax Paid, Supplemental</v>
      </c>
      <c r="J62" s="63">
        <f t="shared" si="14"/>
        <v>-25385000000</v>
      </c>
      <c r="K62" s="63">
        <f t="shared" si="14"/>
        <v>-19573000000</v>
      </c>
      <c r="L62" s="63">
        <f t="shared" si="14"/>
        <v>-18679000000</v>
      </c>
      <c r="M62" s="63">
        <f t="shared" si="14"/>
        <v>-26102000000</v>
      </c>
      <c r="N62" s="96">
        <f t="shared" si="14"/>
        <v>-43369000000</v>
      </c>
    </row>
    <row r="63" spans="1:16" ht="15" thickBot="1" x14ac:dyDescent="0.4">
      <c r="I63" s="105" t="str">
        <f t="shared" si="14"/>
        <v xml:space="preserve">    Interest Paid, Supplemental</v>
      </c>
      <c r="J63" s="106">
        <f t="shared" si="14"/>
        <v>-2687000000</v>
      </c>
      <c r="K63" s="106">
        <f t="shared" si="14"/>
        <v>-2865000000</v>
      </c>
      <c r="L63" s="106">
        <f t="shared" si="14"/>
        <v>-3803000000</v>
      </c>
      <c r="M63" s="107" t="str">
        <f t="shared" si="14"/>
        <v/>
      </c>
      <c r="N63" s="108" t="str">
        <f t="shared" si="14"/>
        <v/>
      </c>
    </row>
    <row r="64" spans="1:16" x14ac:dyDescent="0.35">
      <c r="I64" t="s">
        <v>220</v>
      </c>
      <c r="J64" s="74"/>
      <c r="K64" s="74"/>
      <c r="L64" s="74"/>
      <c r="M64" s="74"/>
      <c r="N64" s="74"/>
    </row>
  </sheetData>
  <mergeCells count="2">
    <mergeCell ref="A1:G1"/>
    <mergeCell ref="I1:O1"/>
  </mergeCells>
  <conditionalFormatting sqref="J33:P33">
    <cfRule type="cellIs" dxfId="20" priority="3" operator="equal">
      <formula>TRUE</formula>
    </cfRule>
    <cfRule type="cellIs" dxfId="19" priority="4" operator="equal">
      <formula>FALSE</formula>
    </cfRule>
  </conditionalFormatting>
  <conditionalFormatting sqref="J55:P55">
    <cfRule type="cellIs" dxfId="18" priority="1" operator="equal">
      <formula>TRUE</formula>
    </cfRule>
    <cfRule type="cellIs" dxfId="17" priority="2" operator="equal">
      <formula>FALSE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tabColor rgb="FFFFC000"/>
    <pageSetUpPr fitToPage="1"/>
  </sheetPr>
  <dimension ref="A1:L59"/>
  <sheetViews>
    <sheetView showGridLines="0" zoomScaleNormal="100" workbookViewId="0">
      <pane xSplit="2" ySplit="4" topLeftCell="C5" activePane="bottomRight" state="frozen"/>
      <selection activeCell="C43" sqref="C43:G43"/>
      <selection pane="topRight" activeCell="C43" sqref="C43:G43"/>
      <selection pane="bottomLeft" activeCell="C43" sqref="C43:G43"/>
      <selection pane="bottomRight" activeCell="J1" sqref="J1"/>
    </sheetView>
  </sheetViews>
  <sheetFormatPr defaultColWidth="8.6328125" defaultRowHeight="14.5" x14ac:dyDescent="0.35"/>
  <cols>
    <col min="1" max="1" width="2" customWidth="1"/>
    <col min="2" max="2" width="61.36328125" bestFit="1" customWidth="1"/>
    <col min="3" max="12" width="14" customWidth="1"/>
  </cols>
  <sheetData>
    <row r="1" spans="1:12" ht="30" customHeight="1" x14ac:dyDescent="0.35">
      <c r="A1" s="1"/>
      <c r="B1" s="370" t="s">
        <v>79</v>
      </c>
      <c r="C1" s="370"/>
      <c r="D1" s="370"/>
      <c r="E1" s="370"/>
      <c r="F1" s="370"/>
      <c r="G1" s="370"/>
      <c r="I1" s="90" t="s">
        <v>223</v>
      </c>
      <c r="J1" s="91" t="b">
        <f>AND(L59)</f>
        <v>1</v>
      </c>
    </row>
    <row r="2" spans="1:12" ht="21.75" customHeight="1" x14ac:dyDescent="0.35">
      <c r="A2" s="2"/>
      <c r="B2" s="371" t="s">
        <v>174</v>
      </c>
      <c r="C2" s="371"/>
      <c r="D2" s="371"/>
      <c r="E2" s="371"/>
      <c r="F2" s="371"/>
      <c r="G2" s="371"/>
    </row>
    <row r="3" spans="1:12" ht="18" customHeight="1" x14ac:dyDescent="0.35"/>
    <row r="4" spans="1:12" ht="19.5" customHeight="1" x14ac:dyDescent="0.35">
      <c r="B4" s="3" t="s">
        <v>431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173</v>
      </c>
      <c r="H4" s="190" t="str">
        <f>"FY"&amp;(MID(G4,3,4)+1)</f>
        <v>FY2026</v>
      </c>
      <c r="I4" s="191" t="str">
        <f t="shared" ref="I4:L4" si="0">"FY"&amp;(MID(H4,3,4)+1)</f>
        <v>FY2027</v>
      </c>
      <c r="J4" s="191" t="str">
        <f t="shared" si="0"/>
        <v>FY2028</v>
      </c>
      <c r="K4" s="191" t="str">
        <f t="shared" si="0"/>
        <v>FY2029</v>
      </c>
      <c r="L4" s="191" t="str">
        <f t="shared" si="0"/>
        <v>FY2030</v>
      </c>
    </row>
    <row r="5" spans="1:12" ht="7.5" customHeight="1" x14ac:dyDescent="0.35">
      <c r="B5" s="5"/>
      <c r="C5" s="5"/>
      <c r="D5" s="5"/>
      <c r="E5" s="5"/>
      <c r="F5" s="5"/>
      <c r="G5" s="5"/>
    </row>
    <row r="6" spans="1:12" ht="18" customHeight="1" x14ac:dyDescent="0.35">
      <c r="B6" s="6" t="s">
        <v>80</v>
      </c>
      <c r="C6" s="7"/>
      <c r="D6" s="7"/>
      <c r="E6" s="7"/>
      <c r="F6" s="7"/>
      <c r="G6" s="7"/>
    </row>
    <row r="7" spans="1:12" ht="18" customHeight="1" x14ac:dyDescent="0.35">
      <c r="B7" s="12" t="s">
        <v>81</v>
      </c>
      <c r="C7" s="7"/>
      <c r="D7" s="7"/>
      <c r="E7" s="7"/>
      <c r="F7" s="7"/>
      <c r="G7" s="7"/>
      <c r="H7" s="378" t="str">
        <f>"PROJECTED " &amp; B7</f>
        <v>PROJECTED   Current Assets</v>
      </c>
      <c r="I7" s="378"/>
      <c r="J7" s="378"/>
      <c r="K7" s="378"/>
      <c r="L7" s="378"/>
    </row>
    <row r="8" spans="1:12" ht="15.75" customHeight="1" x14ac:dyDescent="0.35">
      <c r="B8" s="10" t="s">
        <v>82</v>
      </c>
      <c r="C8" s="149">
        <f>'Raw (Balance Sheet)'!J6</f>
        <v>34940000000</v>
      </c>
      <c r="D8" s="149">
        <f>'Raw (Balance Sheet)'!K6</f>
        <v>23646000000</v>
      </c>
      <c r="E8" s="149">
        <f>'Raw (Balance Sheet)'!L6</f>
        <v>29965000000</v>
      </c>
      <c r="F8" s="149">
        <f>'Raw (Balance Sheet)'!M6</f>
        <v>29943000000</v>
      </c>
      <c r="G8" s="149">
        <f>'Raw (Balance Sheet)'!N6</f>
        <v>35934000000</v>
      </c>
      <c r="H8" s="149">
        <f>'Cash Flow Statement'!H49</f>
        <v>60850288638.554443</v>
      </c>
      <c r="I8" s="149">
        <f>'Cash Flow Statement'!I49</f>
        <v>104762131536.67311</v>
      </c>
      <c r="J8" s="149">
        <f>'Cash Flow Statement'!J49</f>
        <v>168654282614.70868</v>
      </c>
      <c r="K8" s="149">
        <f>'Cash Flow Statement'!K49</f>
        <v>249461393128.07599</v>
      </c>
      <c r="L8" s="149">
        <f>'Cash Flow Statement'!L49</f>
        <v>351186343084.5426</v>
      </c>
    </row>
    <row r="9" spans="1:12" ht="15.75" customHeight="1" x14ac:dyDescent="0.35">
      <c r="B9" s="8" t="s">
        <v>83</v>
      </c>
      <c r="C9" s="150">
        <f>'Raw (Balance Sheet)'!J9</f>
        <v>27699000000</v>
      </c>
      <c r="D9" s="150">
        <f>'Raw (Balance Sheet)'!K9</f>
        <v>24658000000</v>
      </c>
      <c r="E9" s="150">
        <f>'Raw (Balance Sheet)'!L9</f>
        <v>31590000000</v>
      </c>
      <c r="F9" s="150">
        <f>'Raw (Balance Sheet)'!M9</f>
        <v>35228000000</v>
      </c>
      <c r="G9" s="150">
        <f>'Raw (Balance Sheet)'!N9</f>
        <v>18763000000</v>
      </c>
      <c r="H9" s="40">
        <v>18763000000</v>
      </c>
      <c r="I9" s="40">
        <v>18763000000</v>
      </c>
      <c r="J9" s="40">
        <v>18763000000</v>
      </c>
      <c r="K9" s="40">
        <v>18763000000</v>
      </c>
      <c r="L9" s="40">
        <v>18763000000</v>
      </c>
    </row>
    <row r="10" spans="1:12" ht="15.75" customHeight="1" x14ac:dyDescent="0.35">
      <c r="B10" s="10" t="s">
        <v>84</v>
      </c>
      <c r="C10" s="149">
        <f>'Raw (Balance Sheet)'!J13</f>
        <v>26278000000</v>
      </c>
      <c r="D10" s="149">
        <f>'Raw (Balance Sheet)'!K13</f>
        <v>28184000000</v>
      </c>
      <c r="E10" s="149">
        <f>'Raw (Balance Sheet)'!L13</f>
        <v>29508000000</v>
      </c>
      <c r="F10" s="149">
        <f>'Raw (Balance Sheet)'!M13</f>
        <v>33410000000</v>
      </c>
      <c r="G10" s="149">
        <f>'Raw (Balance Sheet)'!N13</f>
        <v>39777000000</v>
      </c>
      <c r="H10" s="149">
        <f>ROUND('Assumptions &amp; Drivers'!$D$22/365*'Income Statement'!H10,0)</f>
        <v>42393994789</v>
      </c>
      <c r="I10" s="149">
        <f>ROUND('Assumptions &amp; Drivers'!$D$22/365*'Income Statement'!I10,0)</f>
        <v>45251034567</v>
      </c>
      <c r="J10" s="149">
        <f>ROUND('Assumptions &amp; Drivers'!$D$22/365*'Income Statement'!J10,0)</f>
        <v>48375872456</v>
      </c>
      <c r="K10" s="149">
        <f>ROUND('Assumptions &amp; Drivers'!$D$22/365*'Income Statement'!K10,0)</f>
        <v>51799817877</v>
      </c>
      <c r="L10" s="149">
        <f>ROUND('Assumptions &amp; Drivers'!$D$22/365*'Income Statement'!L10,0)</f>
        <v>55558208971</v>
      </c>
    </row>
    <row r="11" spans="1:12" ht="15.75" customHeight="1" x14ac:dyDescent="0.35">
      <c r="B11" s="8" t="s">
        <v>430</v>
      </c>
      <c r="C11" s="150">
        <f>'Raw (Balance Sheet)'!J16</f>
        <v>25228000000</v>
      </c>
      <c r="D11" s="150">
        <f>'Raw (Balance Sheet)'!K16</f>
        <v>32748000000</v>
      </c>
      <c r="E11" s="150">
        <f>'Raw (Balance Sheet)'!L16</f>
        <v>31477000000</v>
      </c>
      <c r="F11" s="150">
        <f>'Raw (Balance Sheet)'!M16</f>
        <v>32833000000</v>
      </c>
      <c r="G11" s="150">
        <f>'Raw (Balance Sheet)'!N16</f>
        <v>33180000000</v>
      </c>
      <c r="H11" s="150">
        <f>ROUND('Balance Sheet'!G11/'Income Statement'!G18*'Income Statement'!H18,0)</f>
        <v>34903851937</v>
      </c>
      <c r="I11" s="150">
        <f>ROUND('Balance Sheet'!H11/'Income Statement'!H18*'Income Statement'!I18,0)</f>
        <v>36409618798</v>
      </c>
      <c r="J11" s="150">
        <f>ROUND('Balance Sheet'!I11/'Income Statement'!I18*'Income Statement'!J18,0)</f>
        <v>38000243874</v>
      </c>
      <c r="K11" s="150">
        <f>ROUND('Balance Sheet'!J11/'Income Statement'!J18*'Income Statement'!K18,0)</f>
        <v>40930584870</v>
      </c>
      <c r="L11" s="150">
        <f>ROUND('Balance Sheet'!K11/'Income Statement'!K18*'Income Statement'!L18,0)</f>
        <v>43254066618</v>
      </c>
    </row>
    <row r="12" spans="1:12" ht="15.75" customHeight="1" x14ac:dyDescent="0.35">
      <c r="B12" s="10" t="s">
        <v>85</v>
      </c>
      <c r="C12" s="149">
        <f>'Raw (Balance Sheet)'!J11</f>
        <v>6580000000</v>
      </c>
      <c r="D12" s="149">
        <f>'Raw (Balance Sheet)'!K11</f>
        <v>4946000000</v>
      </c>
      <c r="E12" s="149">
        <f>'Raw (Balance Sheet)'!L11</f>
        <v>6331000000</v>
      </c>
      <c r="F12" s="149">
        <f>'Raw (Balance Sheet)'!M11</f>
        <v>7286000000</v>
      </c>
      <c r="G12" s="149">
        <f>'Raw (Balance Sheet)'!N11</f>
        <v>5718000000</v>
      </c>
      <c r="H12" s="149">
        <f>ROUND('Assumptions &amp; Drivers'!$D$23/365*'Income Statement'!H18,0)</f>
        <v>6015076111</v>
      </c>
      <c r="I12" s="149">
        <f>ROUND('Assumptions &amp; Drivers'!$D$23/365*'Income Statement'!I18,0)</f>
        <v>6274569026</v>
      </c>
      <c r="J12" s="149">
        <f>ROUND('Assumptions &amp; Drivers'!$D$23/365*'Income Statement'!J18,0)</f>
        <v>6548685789</v>
      </c>
      <c r="K12" s="149">
        <f>ROUND('Assumptions &amp; Drivers'!$D$23/365*'Income Statement'!K18,0)</f>
        <v>7053679454</v>
      </c>
      <c r="L12" s="149">
        <f>ROUND('Assumptions &amp; Drivers'!$D$23/365*'Income Statement'!L18,0)</f>
        <v>7454091408</v>
      </c>
    </row>
    <row r="13" spans="1:12" ht="15.75" customHeight="1" x14ac:dyDescent="0.35">
      <c r="B13" s="8" t="s">
        <v>86</v>
      </c>
      <c r="C13" s="150">
        <f>'Raw (Balance Sheet)'!J17</f>
        <v>14111000000</v>
      </c>
      <c r="D13" s="150">
        <f>'Raw (Balance Sheet)'!K17</f>
        <v>21223000000</v>
      </c>
      <c r="E13" s="150">
        <f>'Raw (Balance Sheet)'!L17</f>
        <v>14695000000</v>
      </c>
      <c r="F13" s="150">
        <f>'Raw (Balance Sheet)'!M17</f>
        <v>14287000000</v>
      </c>
      <c r="G13" s="150">
        <f>'Raw (Balance Sheet)'!N17</f>
        <v>14585000000</v>
      </c>
      <c r="H13" s="150">
        <f>ROUND('Balance Sheet'!G13/'Income Statement'!G10*'Income Statement'!H10,0)</f>
        <v>15544571335</v>
      </c>
      <c r="I13" s="150">
        <f>ROUND('Balance Sheet'!H13/'Income Statement'!H10*'Income Statement'!I10,0)</f>
        <v>16592159770</v>
      </c>
      <c r="J13" s="150">
        <f>ROUND('Balance Sheet'!I13/'Income Statement'!I10*'Income Statement'!J10,0)</f>
        <v>17737941518</v>
      </c>
      <c r="K13" s="150">
        <f>ROUND('Balance Sheet'!J13/'Income Statement'!J10*'Income Statement'!K10,0)</f>
        <v>18993396780</v>
      </c>
      <c r="L13" s="150">
        <f>ROUND('Balance Sheet'!K13/'Income Statement'!K10*'Income Statement'!L10,0)</f>
        <v>20371482963</v>
      </c>
    </row>
    <row r="14" spans="1:12" ht="16.5" customHeight="1" thickBot="1" x14ac:dyDescent="0.4">
      <c r="B14" s="9" t="s">
        <v>87</v>
      </c>
      <c r="C14" s="42">
        <f>SUM(C8:C13)</f>
        <v>134836000000</v>
      </c>
      <c r="D14" s="42">
        <f>SUM(D8:D13)</f>
        <v>135405000000</v>
      </c>
      <c r="E14" s="42">
        <f>SUM(E8:E13)</f>
        <v>143566000000</v>
      </c>
      <c r="F14" s="42">
        <f>SUM(F8:F13)</f>
        <v>152987000000</v>
      </c>
      <c r="G14" s="42">
        <f>SUM(G8:G13)</f>
        <v>147957000000</v>
      </c>
      <c r="H14" s="42">
        <f t="shared" ref="H14:L14" si="1">SUM(H8:H13)</f>
        <v>178470782810.55444</v>
      </c>
      <c r="I14" s="42">
        <f t="shared" si="1"/>
        <v>228052513697.6731</v>
      </c>
      <c r="J14" s="42">
        <f t="shared" si="1"/>
        <v>298080026251.70868</v>
      </c>
      <c r="K14" s="42">
        <f t="shared" si="1"/>
        <v>387001872109.07599</v>
      </c>
      <c r="L14" s="42">
        <f t="shared" si="1"/>
        <v>496587193044.5426</v>
      </c>
    </row>
    <row r="15" spans="1:12" ht="6" customHeight="1" x14ac:dyDescent="0.35">
      <c r="B15" s="5"/>
      <c r="C15" s="43"/>
      <c r="D15" s="43"/>
      <c r="E15" s="43"/>
      <c r="F15" s="43"/>
      <c r="G15" s="43"/>
    </row>
    <row r="16" spans="1:12" ht="18" customHeight="1" x14ac:dyDescent="0.35">
      <c r="B16" s="12" t="s">
        <v>88</v>
      </c>
      <c r="C16" s="44"/>
      <c r="D16" s="44"/>
      <c r="E16" s="44"/>
      <c r="F16" s="44"/>
      <c r="G16" s="44"/>
      <c r="H16" s="378" t="str">
        <f>"PROJECTED " &amp; B16</f>
        <v>PROJECTED   Non-Current Assets</v>
      </c>
      <c r="I16" s="378"/>
      <c r="J16" s="378"/>
      <c r="K16" s="378"/>
      <c r="L16" s="378"/>
    </row>
    <row r="17" spans="2:12" ht="15.75" customHeight="1" x14ac:dyDescent="0.35">
      <c r="B17" s="10" t="s">
        <v>89</v>
      </c>
      <c r="C17" s="149">
        <f>'Raw (Balance Sheet)'!J20</f>
        <v>119810000000</v>
      </c>
      <c r="D17" s="149">
        <f>'Raw (Balance Sheet)'!K20</f>
        <v>124874000000</v>
      </c>
      <c r="E17" s="149">
        <f>'Raw (Balance Sheet)'!L20</f>
        <v>114599000000</v>
      </c>
      <c r="F17" s="149">
        <f>'Raw (Balance Sheet)'!M20</f>
        <v>119128000000</v>
      </c>
      <c r="G17" s="149">
        <f>'Raw (Balance Sheet)'!N20</f>
        <v>125848000000</v>
      </c>
      <c r="H17" s="308">
        <f>G17-'Cash Flow Statement'!H25</f>
        <v>139597768590.5755</v>
      </c>
      <c r="I17" s="308">
        <f>H17-'Cash Flow Statement'!I25</f>
        <v>153800736986.77316</v>
      </c>
      <c r="J17" s="308">
        <f>I17-'Cash Flow Statement'!J25</f>
        <v>168478374622.98465</v>
      </c>
      <c r="K17" s="308">
        <f>J17-'Cash Flow Statement'!K25</f>
        <v>184194865464.75168</v>
      </c>
      <c r="L17" s="308">
        <f>K17-'Cash Flow Statement'!L25</f>
        <v>200470413507.73181</v>
      </c>
    </row>
    <row r="18" spans="2:12" ht="15.75" customHeight="1" x14ac:dyDescent="0.35">
      <c r="B18" s="8" t="s">
        <v>90</v>
      </c>
      <c r="C18" s="150">
        <f>'Raw (Balance Sheet)'!J27</f>
        <v>-70283000000</v>
      </c>
      <c r="D18" s="150">
        <f>'Raw (Balance Sheet)'!K27</f>
        <v>-72340000000</v>
      </c>
      <c r="E18" s="150">
        <f>'Raw (Balance Sheet)'!L27</f>
        <v>-70884000000</v>
      </c>
      <c r="F18" s="150">
        <f>'Raw (Balance Sheet)'!M27</f>
        <v>-73448000000</v>
      </c>
      <c r="G18" s="150">
        <f>'Raw (Balance Sheet)'!N27</f>
        <v>-76014000000</v>
      </c>
      <c r="H18" s="307">
        <f>G18-'Income Statement'!H55</f>
        <v>-88433145823.745621</v>
      </c>
      <c r="I18" s="307">
        <f>H18-'Income Statement'!I55</f>
        <v>-101689249660.19678</v>
      </c>
      <c r="J18" s="307">
        <f>I18-'Income Statement'!J55</f>
        <v>-115354636424.94539</v>
      </c>
      <c r="K18" s="307">
        <f>J18-'Income Statement'!K55</f>
        <v>-129987231346.59056</v>
      </c>
      <c r="L18" s="307">
        <f>K18-'Income Statement'!L55</f>
        <v>-145681509816.60712</v>
      </c>
    </row>
    <row r="19" spans="2:12" ht="15.75" customHeight="1" x14ac:dyDescent="0.35">
      <c r="B19" s="10" t="s">
        <v>91</v>
      </c>
      <c r="C19" s="149">
        <f>'Raw (Balance Sheet)'!J19</f>
        <v>49527000000</v>
      </c>
      <c r="D19" s="149">
        <f>'Raw (Balance Sheet)'!K19</f>
        <v>52534000000</v>
      </c>
      <c r="E19" s="149">
        <f>'Raw (Balance Sheet)'!L19</f>
        <v>43715000000</v>
      </c>
      <c r="F19" s="149">
        <f>'Raw (Balance Sheet)'!M19</f>
        <v>45680000000</v>
      </c>
      <c r="G19" s="149">
        <f>'Raw (Balance Sheet)'!N19</f>
        <v>49834000000</v>
      </c>
      <c r="H19" s="308">
        <f>H17+H18</f>
        <v>51164622766.82988</v>
      </c>
      <c r="I19" s="308">
        <f t="shared" ref="I19:L19" si="2">I17+I18</f>
        <v>52111487326.576385</v>
      </c>
      <c r="J19" s="308">
        <f t="shared" si="2"/>
        <v>53123738198.039261</v>
      </c>
      <c r="K19" s="308">
        <f t="shared" si="2"/>
        <v>54207634118.161118</v>
      </c>
      <c r="L19" s="308">
        <f t="shared" si="2"/>
        <v>54788903691.124695</v>
      </c>
    </row>
    <row r="20" spans="2:12" ht="15.75" customHeight="1" x14ac:dyDescent="0.35">
      <c r="B20" s="8" t="s">
        <v>92</v>
      </c>
      <c r="C20" s="150">
        <f>IF('Raw (Balance Sheet)'!J39="",0,'Raw (Balance Sheet)'!J39)</f>
        <v>0</v>
      </c>
      <c r="D20" s="150">
        <f>IF('Raw (Balance Sheet)'!K39="",0,'Raw (Balance Sheet)'!K39)</f>
        <v>0</v>
      </c>
      <c r="E20" s="150">
        <f>IF('Raw (Balance Sheet)'!L39="",0,'Raw (Balance Sheet)'!L39)</f>
        <v>0</v>
      </c>
      <c r="F20" s="150">
        <f>IF('Raw (Balance Sheet)'!M39="",0,'Raw (Balance Sheet)'!M39)</f>
        <v>0</v>
      </c>
      <c r="G20" s="150">
        <f>IF('Raw (Balance Sheet)'!N39="",0,'Raw (Balance Sheet)'!N39)</f>
        <v>0</v>
      </c>
      <c r="H20" s="309">
        <v>0</v>
      </c>
      <c r="I20" s="309">
        <v>0</v>
      </c>
      <c r="J20" s="309">
        <v>0</v>
      </c>
      <c r="K20" s="309">
        <v>0</v>
      </c>
      <c r="L20" s="309">
        <v>0</v>
      </c>
    </row>
    <row r="21" spans="2:12" ht="15.75" customHeight="1" x14ac:dyDescent="0.35">
      <c r="B21" s="10" t="s">
        <v>93</v>
      </c>
      <c r="C21" s="149">
        <f>IF('Raw (Balance Sheet)'!J40="",0,'Raw (Balance Sheet)'!J40)</f>
        <v>0</v>
      </c>
      <c r="D21" s="149">
        <f>IF('Raw (Balance Sheet)'!K40="",0,'Raw (Balance Sheet)'!K40)</f>
        <v>0</v>
      </c>
      <c r="E21" s="149">
        <f>IF('Raw (Balance Sheet)'!L40="",0,'Raw (Balance Sheet)'!L40)</f>
        <v>0</v>
      </c>
      <c r="F21" s="149">
        <f>IF('Raw (Balance Sheet)'!M40="",0,'Raw (Balance Sheet)'!M40)</f>
        <v>0</v>
      </c>
      <c r="G21" s="149">
        <f>IF('Raw (Balance Sheet)'!N40="",0,'Raw (Balance Sheet)'!N40)</f>
        <v>0</v>
      </c>
      <c r="H21" s="310">
        <v>0</v>
      </c>
      <c r="I21" s="310">
        <v>0</v>
      </c>
      <c r="J21" s="310">
        <v>0</v>
      </c>
      <c r="K21" s="310">
        <v>0</v>
      </c>
      <c r="L21" s="310">
        <v>0</v>
      </c>
    </row>
    <row r="22" spans="2:12" ht="15.75" customHeight="1" x14ac:dyDescent="0.35">
      <c r="B22" s="8" t="s">
        <v>94</v>
      </c>
      <c r="C22" s="40">
        <v>0</v>
      </c>
      <c r="D22" s="40">
        <v>0</v>
      </c>
      <c r="E22" s="40">
        <v>0</v>
      </c>
      <c r="F22" s="40">
        <v>0</v>
      </c>
      <c r="G22" s="40">
        <v>0</v>
      </c>
      <c r="H22" s="309">
        <v>0</v>
      </c>
      <c r="I22" s="309">
        <v>0</v>
      </c>
      <c r="J22" s="309">
        <v>0</v>
      </c>
      <c r="K22" s="309">
        <v>0</v>
      </c>
      <c r="L22" s="309">
        <v>0</v>
      </c>
    </row>
    <row r="23" spans="2:12" ht="15.75" customHeight="1" x14ac:dyDescent="0.35">
      <c r="B23" s="10" t="s">
        <v>95</v>
      </c>
      <c r="C23" s="149">
        <f>IF('Raw (Balance Sheet)'!J35="",0,'Raw (Balance Sheet)'!J35)</f>
        <v>0</v>
      </c>
      <c r="D23" s="149">
        <f>IF('Raw (Balance Sheet)'!K35="",0,'Raw (Balance Sheet)'!K35)</f>
        <v>0</v>
      </c>
      <c r="E23" s="149">
        <f>IF('Raw (Balance Sheet)'!L35="",0,'Raw (Balance Sheet)'!L35)</f>
        <v>17852000000</v>
      </c>
      <c r="F23" s="149">
        <f>IF('Raw (Balance Sheet)'!M35="",0,'Raw (Balance Sheet)'!M35)</f>
        <v>19499000000</v>
      </c>
      <c r="G23" s="149">
        <f>IF('Raw (Balance Sheet)'!N35="",0,'Raw (Balance Sheet)'!N35)</f>
        <v>20777000000</v>
      </c>
      <c r="H23" s="310">
        <v>20777000000</v>
      </c>
      <c r="I23" s="310">
        <v>20777000000</v>
      </c>
      <c r="J23" s="310">
        <v>20777000000</v>
      </c>
      <c r="K23" s="310">
        <v>20777000000</v>
      </c>
      <c r="L23" s="310">
        <v>20777000000</v>
      </c>
    </row>
    <row r="24" spans="2:12" ht="15.75" customHeight="1" x14ac:dyDescent="0.35">
      <c r="B24" s="8" t="s">
        <v>96</v>
      </c>
      <c r="C24" s="150">
        <f>IF('Raw (Balance Sheet)'!J29="",0,'Raw (Balance Sheet)'!J29)+'Raw (Balance Sheet)'!J36</f>
        <v>166639000000</v>
      </c>
      <c r="D24" s="150">
        <f>IF('Raw (Balance Sheet)'!K29="",0,'Raw (Balance Sheet)'!K29)+'Raw (Balance Sheet)'!K36</f>
        <v>164816000000</v>
      </c>
      <c r="E24" s="150">
        <f>IF('Raw (Balance Sheet)'!L29="",0,'Raw (Balance Sheet)'!L29)+'Raw (Balance Sheet)'!L36</f>
        <v>147450000000</v>
      </c>
      <c r="F24" s="150">
        <f>IF('Raw (Balance Sheet)'!M29="",0,'Raw (Balance Sheet)'!M29)+'Raw (Balance Sheet)'!M36</f>
        <v>146814000000</v>
      </c>
      <c r="G24" s="150">
        <f>IF('Raw (Balance Sheet)'!N29="",0,'Raw (Balance Sheet)'!N29)+'Raw (Balance Sheet)'!N36</f>
        <v>140673000000</v>
      </c>
      <c r="H24" s="309">
        <v>140673000000</v>
      </c>
      <c r="I24" s="309">
        <v>140673000000</v>
      </c>
      <c r="J24" s="309">
        <v>140673000000</v>
      </c>
      <c r="K24" s="309">
        <v>140673000000</v>
      </c>
      <c r="L24" s="309">
        <v>140673000000</v>
      </c>
    </row>
    <row r="25" spans="2:12" ht="16.5" customHeight="1" thickBot="1" x14ac:dyDescent="0.4">
      <c r="B25" s="9" t="s">
        <v>97</v>
      </c>
      <c r="C25" s="42">
        <f t="shared" ref="C25:F25" si="3">SUM(C19:C24)</f>
        <v>216166000000</v>
      </c>
      <c r="D25" s="42">
        <f t="shared" si="3"/>
        <v>217350000000</v>
      </c>
      <c r="E25" s="42">
        <f t="shared" si="3"/>
        <v>209017000000</v>
      </c>
      <c r="F25" s="42">
        <f t="shared" si="3"/>
        <v>211993000000</v>
      </c>
      <c r="G25" s="42">
        <f>SUM(G19:G24)</f>
        <v>211284000000</v>
      </c>
      <c r="H25" s="42">
        <f t="shared" ref="H25:L25" si="4">SUM(H19:H24)</f>
        <v>212614622766.8299</v>
      </c>
      <c r="I25" s="42">
        <f t="shared" si="4"/>
        <v>213561487326.57639</v>
      </c>
      <c r="J25" s="42">
        <f t="shared" si="4"/>
        <v>214573738198.03925</v>
      </c>
      <c r="K25" s="42">
        <f t="shared" si="4"/>
        <v>215657634118.16113</v>
      </c>
      <c r="L25" s="42">
        <f t="shared" si="4"/>
        <v>216238903691.12469</v>
      </c>
    </row>
    <row r="26" spans="2:12" ht="6" customHeight="1" x14ac:dyDescent="0.35">
      <c r="B26" s="5"/>
      <c r="C26" s="43"/>
      <c r="D26" s="43"/>
      <c r="E26" s="43"/>
      <c r="F26" s="43"/>
      <c r="G26" s="43"/>
      <c r="H26" s="43"/>
      <c r="I26" s="43"/>
      <c r="J26" s="43"/>
      <c r="K26" s="43"/>
      <c r="L26" s="43"/>
    </row>
    <row r="27" spans="2:12" ht="16.5" customHeight="1" thickBot="1" x14ac:dyDescent="0.4">
      <c r="B27" s="9" t="s">
        <v>98</v>
      </c>
      <c r="C27" s="42">
        <f>C14+C25</f>
        <v>351002000000</v>
      </c>
      <c r="D27" s="42">
        <f>D14+D25</f>
        <v>352755000000</v>
      </c>
      <c r="E27" s="42">
        <f>E14+E25</f>
        <v>352583000000</v>
      </c>
      <c r="F27" s="42">
        <f>F14+F25</f>
        <v>364980000000</v>
      </c>
      <c r="G27" s="42">
        <f>G14+G25</f>
        <v>359241000000</v>
      </c>
      <c r="H27" s="42">
        <f t="shared" ref="H27:L27" si="5">H14+H25</f>
        <v>391085405577.38434</v>
      </c>
      <c r="I27" s="42">
        <f t="shared" si="5"/>
        <v>441614001024.24951</v>
      </c>
      <c r="J27" s="42">
        <f t="shared" si="5"/>
        <v>512653764449.74792</v>
      </c>
      <c r="K27" s="42">
        <f t="shared" si="5"/>
        <v>602659506227.23706</v>
      </c>
      <c r="L27" s="42">
        <f t="shared" si="5"/>
        <v>712826096735.66724</v>
      </c>
    </row>
    <row r="28" spans="2:12" ht="7.5" customHeight="1" x14ac:dyDescent="0.35">
      <c r="B28" s="5"/>
      <c r="C28" s="43"/>
      <c r="D28" s="43"/>
      <c r="E28" s="43"/>
      <c r="F28" s="43"/>
      <c r="G28" s="43"/>
    </row>
    <row r="29" spans="2:12" ht="18" customHeight="1" x14ac:dyDescent="0.35">
      <c r="B29" s="6" t="s">
        <v>99</v>
      </c>
      <c r="C29" s="44"/>
      <c r="D29" s="44"/>
      <c r="E29" s="44"/>
      <c r="F29" s="44"/>
      <c r="G29" s="44"/>
    </row>
    <row r="30" spans="2:12" ht="18" customHeight="1" x14ac:dyDescent="0.35">
      <c r="B30" s="12" t="s">
        <v>100</v>
      </c>
      <c r="C30" s="44"/>
      <c r="D30" s="44"/>
      <c r="E30" s="44"/>
      <c r="F30" s="44"/>
      <c r="G30" s="44"/>
      <c r="H30" s="378" t="str">
        <f>"PROJECTED " &amp; B30</f>
        <v>PROJECTED   Current Liabilities</v>
      </c>
      <c r="I30" s="378"/>
      <c r="J30" s="378"/>
      <c r="K30" s="378"/>
      <c r="L30" s="378"/>
    </row>
    <row r="31" spans="2:12" ht="15.75" customHeight="1" x14ac:dyDescent="0.35">
      <c r="B31" s="10" t="s">
        <v>101</v>
      </c>
      <c r="C31" s="149">
        <f>'Raw (Balance Sheet)'!J51</f>
        <v>54763000000</v>
      </c>
      <c r="D31" s="149">
        <f>'Raw (Balance Sheet)'!K51</f>
        <v>64115000000</v>
      </c>
      <c r="E31" s="149">
        <f>'Raw (Balance Sheet)'!L51</f>
        <v>62611000000</v>
      </c>
      <c r="F31" s="149">
        <f>'Raw (Balance Sheet)'!M51</f>
        <v>68960000000</v>
      </c>
      <c r="G31" s="149">
        <f>'Raw (Balance Sheet)'!N51</f>
        <v>69860000000</v>
      </c>
      <c r="H31" s="149">
        <f>ROUND('Assumptions &amp; Drivers'!$D$24/365*'Income Statement'!H18,0)</f>
        <v>73489544796</v>
      </c>
      <c r="I31" s="149">
        <f>ROUND('Assumptions &amp; Drivers'!$D$24/365*'Income Statement'!I18,0)</f>
        <v>76659914685</v>
      </c>
      <c r="J31" s="149">
        <f>ROUND('Assumptions &amp; Drivers'!$D$24/365*'Income Statement'!J18,0)</f>
        <v>80008952291</v>
      </c>
      <c r="K31" s="149">
        <f>ROUND('Assumptions &amp; Drivers'!$D$24/365*'Income Statement'!K18,0)</f>
        <v>86178741984</v>
      </c>
      <c r="L31" s="149">
        <f>ROUND('Assumptions &amp; Drivers'!$D$24/365*'Income Statement'!L18,0)</f>
        <v>91070798492</v>
      </c>
    </row>
    <row r="32" spans="2:12" ht="15.75" customHeight="1" x14ac:dyDescent="0.35">
      <c r="B32" s="8" t="s">
        <v>432</v>
      </c>
      <c r="C32" s="150">
        <f>'Raw (Balance Sheet)'!J56</f>
        <v>6000000000</v>
      </c>
      <c r="D32" s="150">
        <f>'Raw (Balance Sheet)'!K56</f>
        <v>9982000000</v>
      </c>
      <c r="E32" s="150">
        <f>'Raw (Balance Sheet)'!L56</f>
        <v>5985000000</v>
      </c>
      <c r="F32" s="150">
        <f>'Raw (Balance Sheet)'!M56</f>
        <v>9967000000</v>
      </c>
      <c r="G32" s="150">
        <f>'Raw (Balance Sheet)'!N56</f>
        <v>7979000000</v>
      </c>
      <c r="H32" s="40">
        <v>7979000000</v>
      </c>
      <c r="I32" s="40">
        <v>7979000000</v>
      </c>
      <c r="J32" s="40">
        <v>7979000000</v>
      </c>
      <c r="K32" s="40">
        <v>7979000000</v>
      </c>
      <c r="L32" s="40">
        <v>7979000000</v>
      </c>
    </row>
    <row r="33" spans="2:12" ht="15.75" customHeight="1" x14ac:dyDescent="0.35">
      <c r="B33" s="10" t="s">
        <v>102</v>
      </c>
      <c r="C33" s="149">
        <f>'Raw (Balance Sheet)'!J58</f>
        <v>11141000000</v>
      </c>
      <c r="D33" s="149">
        <f>'Raw (Balance Sheet)'!K58</f>
        <v>12791000000</v>
      </c>
      <c r="E33" s="149">
        <f>'Raw (Balance Sheet)'!L58</f>
        <v>11397000000</v>
      </c>
      <c r="F33" s="149">
        <f>'Raw (Balance Sheet)'!M58</f>
        <v>10912000000</v>
      </c>
      <c r="G33" s="149">
        <f>'Raw (Balance Sheet)'!N58</f>
        <v>12350000000</v>
      </c>
      <c r="H33" s="39">
        <v>12350000000</v>
      </c>
      <c r="I33" s="39">
        <v>12350000000</v>
      </c>
      <c r="J33" s="39">
        <v>12350000000</v>
      </c>
      <c r="K33" s="39">
        <v>12350000000</v>
      </c>
      <c r="L33" s="39">
        <v>12350000000</v>
      </c>
    </row>
    <row r="34" spans="2:12" ht="15.75" customHeight="1" x14ac:dyDescent="0.35">
      <c r="B34" s="8" t="s">
        <v>103</v>
      </c>
      <c r="C34" s="150">
        <f>'Raw (Balance Sheet)'!J63</f>
        <v>7612000000</v>
      </c>
      <c r="D34" s="150">
        <f>'Raw (Balance Sheet)'!K63</f>
        <v>7912000000</v>
      </c>
      <c r="E34" s="150">
        <f>'Raw (Balance Sheet)'!L63</f>
        <v>8061000000</v>
      </c>
      <c r="F34" s="150">
        <f>'Raw (Balance Sheet)'!M63</f>
        <v>8249000000</v>
      </c>
      <c r="G34" s="150">
        <f>'Raw (Balance Sheet)'!N63</f>
        <v>9055000000</v>
      </c>
      <c r="H34" s="150">
        <f>ROUND('Balance Sheet'!G34/'Income Statement'!G8*'Income Statement'!H8,0)</f>
        <v>10278007362</v>
      </c>
      <c r="I34" s="150">
        <f>ROUND('Balance Sheet'!H34/'Income Statement'!H8*'Income Statement'!I8,0)</f>
        <v>11666199374</v>
      </c>
      <c r="J34" s="150">
        <f>ROUND('Balance Sheet'!I34/'Income Statement'!I8*'Income Statement'!J8,0)</f>
        <v>13241886588</v>
      </c>
      <c r="K34" s="150">
        <f>ROUND('Balance Sheet'!J34/'Income Statement'!J8*'Income Statement'!K8,0)</f>
        <v>15030392914</v>
      </c>
      <c r="L34" s="150">
        <f>ROUND('Balance Sheet'!K34/'Income Statement'!K8*'Income Statement'!L8,0)</f>
        <v>17060462620</v>
      </c>
    </row>
    <row r="35" spans="2:12" ht="15.75" customHeight="1" x14ac:dyDescent="0.35">
      <c r="B35" s="10" t="s">
        <v>104</v>
      </c>
      <c r="C35" s="149">
        <f>IF('Raw (Balance Sheet)'!J52="",0,'Raw (Balance Sheet)'!J52)+IF('Raw (Balance Sheet)'!J53="",0,'Raw (Balance Sheet)'!J53)+IF('Raw (Balance Sheet)'!J65="",0,'Raw (Balance Sheet)'!J65)</f>
        <v>45965000000</v>
      </c>
      <c r="D35" s="149">
        <f>IF('Raw (Balance Sheet)'!K52="",0,'Raw (Balance Sheet)'!K52)+IF('Raw (Balance Sheet)'!K53="",0,'Raw (Balance Sheet)'!K53)+IF('Raw (Balance Sheet)'!K65="",0,'Raw (Balance Sheet)'!K65)</f>
        <v>59182000000</v>
      </c>
      <c r="E35" s="149">
        <f>IF('Raw (Balance Sheet)'!L52="",0,'Raw (Balance Sheet)'!L52)+IF('Raw (Balance Sheet)'!L53="",0,'Raw (Balance Sheet)'!L53)+IF('Raw (Balance Sheet)'!L65="",0,'Raw (Balance Sheet)'!L65)</f>
        <v>57254000000</v>
      </c>
      <c r="F35" s="149">
        <f>IF('Raw (Balance Sheet)'!M52="",0,'Raw (Balance Sheet)'!M52)+IF('Raw (Balance Sheet)'!M53="",0,'Raw (Balance Sheet)'!M53)+IF('Raw (Balance Sheet)'!M65="",0,'Raw (Balance Sheet)'!M65)</f>
        <v>78304000000</v>
      </c>
      <c r="G35" s="149">
        <f>IF('Raw (Balance Sheet)'!N52="",0,'Raw (Balance Sheet)'!N52)+IF('Raw (Balance Sheet)'!N53="",0,'Raw (Balance Sheet)'!N53)+IF('Raw (Balance Sheet)'!N65="",0,'Raw (Balance Sheet)'!N65)</f>
        <v>66387000000</v>
      </c>
      <c r="H35" s="149">
        <f>ROUND('Balance Sheet'!G35/'Income Statement'!G10*'Income Statement'!H10,0)</f>
        <v>70754710814</v>
      </c>
      <c r="I35" s="149">
        <f>ROUND('Balance Sheet'!H35/'Income Statement'!H10*'Income Statement'!I10,0)</f>
        <v>75523051809</v>
      </c>
      <c r="J35" s="149">
        <f>ROUND('Balance Sheet'!I35/'Income Statement'!I10*'Income Statement'!J10,0)</f>
        <v>80738342377</v>
      </c>
      <c r="K35" s="149">
        <f>ROUND('Balance Sheet'!J35/'Income Statement'!J10*'Income Statement'!K10,0)</f>
        <v>86452837302</v>
      </c>
      <c r="L35" s="149">
        <f>ROUND('Balance Sheet'!K35/'Income Statement'!K10*'Income Statement'!L10,0)</f>
        <v>92725515222</v>
      </c>
    </row>
    <row r="36" spans="2:12" ht="16.5" customHeight="1" thickBot="1" x14ac:dyDescent="0.4">
      <c r="B36" s="9" t="s">
        <v>105</v>
      </c>
      <c r="C36" s="42">
        <f t="shared" ref="C36:H36" si="6">SUM(C31:C35)</f>
        <v>125481000000</v>
      </c>
      <c r="D36" s="42">
        <f t="shared" si="6"/>
        <v>153982000000</v>
      </c>
      <c r="E36" s="42">
        <f t="shared" si="6"/>
        <v>145308000000</v>
      </c>
      <c r="F36" s="42">
        <f t="shared" si="6"/>
        <v>176392000000</v>
      </c>
      <c r="G36" s="42">
        <f t="shared" si="6"/>
        <v>165631000000</v>
      </c>
      <c r="H36" s="42">
        <f t="shared" si="6"/>
        <v>174851262972</v>
      </c>
      <c r="I36" s="42">
        <f t="shared" ref="I36:L36" si="7">SUM(I31:I35)</f>
        <v>184178165868</v>
      </c>
      <c r="J36" s="42">
        <f t="shared" si="7"/>
        <v>194318181256</v>
      </c>
      <c r="K36" s="42">
        <f t="shared" si="7"/>
        <v>207990972200</v>
      </c>
      <c r="L36" s="42">
        <f t="shared" si="7"/>
        <v>221185776334</v>
      </c>
    </row>
    <row r="37" spans="2:12" ht="6" customHeight="1" x14ac:dyDescent="0.35">
      <c r="B37" s="5"/>
      <c r="C37" s="43"/>
      <c r="D37" s="43"/>
      <c r="E37" s="43"/>
      <c r="F37" s="43"/>
      <c r="G37" s="43"/>
    </row>
    <row r="38" spans="2:12" ht="18" customHeight="1" x14ac:dyDescent="0.35">
      <c r="B38" s="12" t="s">
        <v>106</v>
      </c>
      <c r="C38" s="44"/>
      <c r="D38" s="44"/>
      <c r="E38" s="44"/>
      <c r="F38" s="44"/>
      <c r="G38" s="44"/>
      <c r="H38" s="378" t="str">
        <f>"PROJECTED " &amp; B38</f>
        <v>PROJECTED   Non-Current Liabilities</v>
      </c>
      <c r="I38" s="378"/>
      <c r="J38" s="378"/>
      <c r="K38" s="378"/>
      <c r="L38" s="378"/>
    </row>
    <row r="39" spans="2:12" ht="15.75" customHeight="1" x14ac:dyDescent="0.35">
      <c r="B39" s="10" t="s">
        <v>107</v>
      </c>
      <c r="C39" s="149">
        <f>'Raw (Balance Sheet)'!J67</f>
        <v>119381000000</v>
      </c>
      <c r="D39" s="149">
        <f>'Raw (Balance Sheet)'!K67</f>
        <v>109707000000</v>
      </c>
      <c r="E39" s="149">
        <f>'Raw (Balance Sheet)'!L67</f>
        <v>106548000000</v>
      </c>
      <c r="F39" s="149">
        <f>'Raw (Balance Sheet)'!M67</f>
        <v>85750000000</v>
      </c>
      <c r="G39" s="149">
        <f>'Raw (Balance Sheet)'!N67</f>
        <v>78328000000</v>
      </c>
      <c r="H39" s="149">
        <f>G39+'Cash Flow Statement'!H37+'Cash Flow Statement'!H38</f>
        <v>78328000000</v>
      </c>
      <c r="I39" s="149">
        <f>H39+'Cash Flow Statement'!I37+'Cash Flow Statement'!I38</f>
        <v>78328000000</v>
      </c>
      <c r="J39" s="149">
        <f>I39+'Cash Flow Statement'!J37+'Cash Flow Statement'!J38</f>
        <v>78328000000</v>
      </c>
      <c r="K39" s="149">
        <f>J39+'Cash Flow Statement'!K37+'Cash Flow Statement'!K38</f>
        <v>78328000000</v>
      </c>
      <c r="L39" s="149">
        <f>K39+'Cash Flow Statement'!L37+'Cash Flow Statement'!L38</f>
        <v>78328000000</v>
      </c>
    </row>
    <row r="40" spans="2:12" ht="15.75" customHeight="1" x14ac:dyDescent="0.35">
      <c r="B40" s="8" t="s">
        <v>108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</row>
    <row r="41" spans="2:12" ht="15.75" customHeight="1" x14ac:dyDescent="0.35">
      <c r="B41" s="10" t="s">
        <v>109</v>
      </c>
      <c r="C41" s="39">
        <v>0</v>
      </c>
      <c r="D41" s="39">
        <v>0</v>
      </c>
      <c r="E41" s="39">
        <v>0</v>
      </c>
      <c r="F41" s="39">
        <v>0</v>
      </c>
      <c r="G41" s="39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</row>
    <row r="42" spans="2:12" ht="15.75" customHeight="1" x14ac:dyDescent="0.35">
      <c r="B42" s="8" t="s">
        <v>110</v>
      </c>
      <c r="C42" s="150">
        <f>'Raw (Balance Sheet)'!J73+IF('Raw (Balance Sheet)'!J74="",0,'Raw (Balance Sheet)'!J74)</f>
        <v>43050000000</v>
      </c>
      <c r="D42" s="150">
        <f>'Raw (Balance Sheet)'!K73+IF('Raw (Balance Sheet)'!K74="",0,'Raw (Balance Sheet)'!K74)</f>
        <v>38394000000</v>
      </c>
      <c r="E42" s="150">
        <f>'Raw (Balance Sheet)'!L73+IF('Raw (Balance Sheet)'!L74="",0,'Raw (Balance Sheet)'!L74)</f>
        <v>38581000000</v>
      </c>
      <c r="F42" s="150">
        <f>'Raw (Balance Sheet)'!M73+IF('Raw (Balance Sheet)'!M74="",0,'Raw (Balance Sheet)'!M74)</f>
        <v>45888000000</v>
      </c>
      <c r="G42" s="150">
        <f>'Raw (Balance Sheet)'!N73+IF('Raw (Balance Sheet)'!N74="",0,'Raw (Balance Sheet)'!N74)</f>
        <v>41549000000</v>
      </c>
      <c r="H42" s="40">
        <v>41549000000</v>
      </c>
      <c r="I42" s="40">
        <v>41549000000</v>
      </c>
      <c r="J42" s="40">
        <v>41549000000</v>
      </c>
      <c r="K42" s="40">
        <v>41549000000</v>
      </c>
      <c r="L42" s="40">
        <v>41549000000</v>
      </c>
    </row>
    <row r="43" spans="2:12" ht="16.5" customHeight="1" thickBot="1" x14ac:dyDescent="0.4">
      <c r="B43" s="9" t="s">
        <v>111</v>
      </c>
      <c r="C43" s="42">
        <f>SUM(C39:C42)</f>
        <v>162431000000</v>
      </c>
      <c r="D43" s="42">
        <f>SUM(D39:D42)</f>
        <v>148101000000</v>
      </c>
      <c r="E43" s="42">
        <f>SUM(E39:E42)</f>
        <v>145129000000</v>
      </c>
      <c r="F43" s="42">
        <f>SUM(F39:F42)</f>
        <v>131638000000</v>
      </c>
      <c r="G43" s="42">
        <f>SUM(G39:G42)</f>
        <v>119877000000</v>
      </c>
      <c r="H43" s="42">
        <f t="shared" ref="H43:L43" si="8">SUM(H39:H42)</f>
        <v>119877000000</v>
      </c>
      <c r="I43" s="42">
        <f t="shared" si="8"/>
        <v>119877000000</v>
      </c>
      <c r="J43" s="42">
        <f t="shared" si="8"/>
        <v>119877000000</v>
      </c>
      <c r="K43" s="42">
        <f t="shared" si="8"/>
        <v>119877000000</v>
      </c>
      <c r="L43" s="42">
        <f t="shared" si="8"/>
        <v>119877000000</v>
      </c>
    </row>
    <row r="44" spans="2:12" ht="6" customHeight="1" x14ac:dyDescent="0.35">
      <c r="B44" s="5"/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2:12" ht="16.5" customHeight="1" thickBot="1" x14ac:dyDescent="0.4">
      <c r="B45" s="9" t="s">
        <v>112</v>
      </c>
      <c r="C45" s="42">
        <f>C36+C43</f>
        <v>287912000000</v>
      </c>
      <c r="D45" s="42">
        <f>D36+D43</f>
        <v>302083000000</v>
      </c>
      <c r="E45" s="42">
        <f>E36+E43</f>
        <v>290437000000</v>
      </c>
      <c r="F45" s="42">
        <f>F36+F43</f>
        <v>308030000000</v>
      </c>
      <c r="G45" s="42">
        <f>G36+G43</f>
        <v>285508000000</v>
      </c>
      <c r="H45" s="42">
        <f t="shared" ref="H45:L45" si="9">H36+H43</f>
        <v>294728262972</v>
      </c>
      <c r="I45" s="42">
        <f t="shared" si="9"/>
        <v>304055165868</v>
      </c>
      <c r="J45" s="42">
        <f t="shared" si="9"/>
        <v>314195181256</v>
      </c>
      <c r="K45" s="42">
        <f t="shared" si="9"/>
        <v>327867972200</v>
      </c>
      <c r="L45" s="42">
        <f t="shared" si="9"/>
        <v>341062776334</v>
      </c>
    </row>
    <row r="46" spans="2:12" ht="6" customHeight="1" x14ac:dyDescent="0.35">
      <c r="B46" s="5"/>
      <c r="C46" s="43"/>
      <c r="D46" s="43"/>
      <c r="E46" s="43"/>
      <c r="F46" s="43"/>
      <c r="G46" s="43"/>
    </row>
    <row r="47" spans="2:12" ht="18" customHeight="1" x14ac:dyDescent="0.35">
      <c r="B47" s="12" t="s">
        <v>113</v>
      </c>
      <c r="C47" s="44"/>
      <c r="D47" s="44"/>
      <c r="E47" s="44"/>
      <c r="F47" s="44"/>
      <c r="G47" s="44"/>
      <c r="H47" s="378" t="str">
        <f>"PROJECTED " &amp; B47</f>
        <v>PROJECTED   Shareholders' Equity</v>
      </c>
      <c r="I47" s="378"/>
      <c r="J47" s="378"/>
      <c r="K47" s="378"/>
      <c r="L47" s="378"/>
    </row>
    <row r="48" spans="2:12" ht="15.75" customHeight="1" x14ac:dyDescent="0.35">
      <c r="B48" s="10" t="s">
        <v>114</v>
      </c>
      <c r="C48" s="149">
        <f>'Raw (Balance Sheet)'!J83</f>
        <v>57365000000</v>
      </c>
      <c r="D48" s="149">
        <f>'Raw (Balance Sheet)'!K83</f>
        <v>64849000000</v>
      </c>
      <c r="E48" s="149">
        <f>'Raw (Balance Sheet)'!L83</f>
        <v>73812000000</v>
      </c>
      <c r="F48" s="149">
        <f>'Raw (Balance Sheet)'!M83</f>
        <v>83276000000</v>
      </c>
      <c r="G48" s="149">
        <f>'Raw (Balance Sheet)'!N83</f>
        <v>93568000000</v>
      </c>
      <c r="H48" s="149">
        <f>G48+'Cash Flow Statement'!H10</f>
        <v>107317768590.5755</v>
      </c>
      <c r="I48" s="149">
        <f>H48+'Cash Flow Statement'!I10</f>
        <v>121994169266.64644</v>
      </c>
      <c r="J48" s="149">
        <f>I48+'Cash Flow Statement'!J10</f>
        <v>137177932338.58936</v>
      </c>
      <c r="K48" s="149">
        <f>J48+'Cash Flow Statement'!K10</f>
        <v>153436371140.41733</v>
      </c>
      <c r="L48" s="149">
        <f>K48+'Cash Flow Statement'!L10</f>
        <v>170293188756.36102</v>
      </c>
    </row>
    <row r="49" spans="2:12" ht="15.75" customHeight="1" x14ac:dyDescent="0.35">
      <c r="B49" s="8" t="s">
        <v>115</v>
      </c>
      <c r="C49" s="150">
        <f>'Raw (Balance Sheet)'!J85</f>
        <v>5562000000</v>
      </c>
      <c r="D49" s="150">
        <f>'Raw (Balance Sheet)'!K85</f>
        <v>-3068000000</v>
      </c>
      <c r="E49" s="150">
        <f>'Raw (Balance Sheet)'!L85</f>
        <v>-214000000</v>
      </c>
      <c r="F49" s="150">
        <f>'Raw (Balance Sheet)'!M85</f>
        <v>-19154000000</v>
      </c>
      <c r="G49" s="150">
        <f>'Raw (Balance Sheet)'!N85</f>
        <v>-14264000000</v>
      </c>
      <c r="H49" s="150">
        <f>G49+'Income Statement'!H49-'Assumptions &amp; Drivers'!E33*'Income Statement'!H53-'Assumptions &amp; Drivers'!E32*1000000</f>
        <v>-5389625985.1911926</v>
      </c>
      <c r="I49" s="150">
        <f>H49+'Income Statement'!I49-'Assumptions &amp; Drivers'!F33*'Income Statement'!I53-'Assumptions &amp; Drivers'!F32*1000000</f>
        <v>21135665889.603043</v>
      </c>
      <c r="J49" s="150">
        <f>I49+'Income Statement'!J49-'Assumptions &amp; Drivers'!G33*'Income Statement'!J53-'Assumptions &amp; Drivers'!G32*1000000</f>
        <v>66851650855.1586</v>
      </c>
      <c r="K49" s="150">
        <f>J49+'Income Statement'!K49-'Assumptions &amp; Drivers'!H33*'Income Statement'!K53-'Assumptions &amp; Drivers'!H32*1000000</f>
        <v>126926162886.81982</v>
      </c>
      <c r="L49" s="150">
        <f>K49+'Income Statement'!L49-'Assumptions &amp; Drivers'!I33*'Income Statement'!L53-'Assumptions &amp; Drivers'!I32*1000000</f>
        <v>207041131645.30634</v>
      </c>
    </row>
    <row r="50" spans="2:12" ht="15.75" customHeight="1" x14ac:dyDescent="0.35">
      <c r="B50" s="10" t="s">
        <v>116</v>
      </c>
      <c r="C50" s="149">
        <f>'Raw (Balance Sheet)'!J86</f>
        <v>163000000</v>
      </c>
      <c r="D50" s="149">
        <f>'Raw (Balance Sheet)'!K86</f>
        <v>-11109000000</v>
      </c>
      <c r="E50" s="149">
        <f>'Raw (Balance Sheet)'!L86</f>
        <v>-11452000000</v>
      </c>
      <c r="F50" s="149">
        <f>'Raw (Balance Sheet)'!M86</f>
        <v>-7172000000</v>
      </c>
      <c r="G50" s="149">
        <f>'Raw (Balance Sheet)'!N86</f>
        <v>-5571000000</v>
      </c>
      <c r="H50" s="39">
        <v>-5571000000</v>
      </c>
      <c r="I50" s="39">
        <v>-5571000000</v>
      </c>
      <c r="J50" s="39">
        <v>-5571000000</v>
      </c>
      <c r="K50" s="39">
        <v>-5571000000</v>
      </c>
      <c r="L50" s="39">
        <v>-5571000000</v>
      </c>
    </row>
    <row r="51" spans="2:12" ht="15.75" customHeight="1" x14ac:dyDescent="0.35">
      <c r="B51" s="8" t="s">
        <v>117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</row>
    <row r="52" spans="2:12" ht="15.75" customHeight="1" x14ac:dyDescent="0.35">
      <c r="B52" s="10" t="s">
        <v>118</v>
      </c>
      <c r="C52" s="39">
        <v>0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</row>
    <row r="53" spans="2:12" ht="16.5" customHeight="1" thickBot="1" x14ac:dyDescent="0.4">
      <c r="B53" s="9" t="s">
        <v>119</v>
      </c>
      <c r="C53" s="42">
        <f>SUM(C48:C52)</f>
        <v>63090000000</v>
      </c>
      <c r="D53" s="42">
        <f>SUM(D48:D52)</f>
        <v>50672000000</v>
      </c>
      <c r="E53" s="42">
        <f>SUM(E48:E52)</f>
        <v>62146000000</v>
      </c>
      <c r="F53" s="42">
        <f>SUM(F48:F52)</f>
        <v>56950000000</v>
      </c>
      <c r="G53" s="42">
        <f>SUM(G48:G52)</f>
        <v>73733000000</v>
      </c>
      <c r="H53" s="42">
        <f t="shared" ref="H53:L53" si="10">SUM(H48:H52)</f>
        <v>96357142605.384308</v>
      </c>
      <c r="I53" s="42">
        <f t="shared" si="10"/>
        <v>137558835156.24948</v>
      </c>
      <c r="J53" s="42">
        <f t="shared" si="10"/>
        <v>198458583193.74796</v>
      </c>
      <c r="K53" s="42">
        <f t="shared" si="10"/>
        <v>274791534027.23718</v>
      </c>
      <c r="L53" s="42">
        <f t="shared" si="10"/>
        <v>371763320401.66736</v>
      </c>
    </row>
    <row r="54" spans="2:12" ht="6" customHeight="1" x14ac:dyDescent="0.35">
      <c r="B54" s="5"/>
      <c r="C54" s="43"/>
      <c r="D54" s="43"/>
      <c r="E54" s="43"/>
      <c r="F54" s="43"/>
      <c r="G54" s="43"/>
      <c r="H54" s="43"/>
      <c r="I54" s="43"/>
      <c r="J54" s="43"/>
      <c r="K54" s="43"/>
      <c r="L54" s="43"/>
    </row>
    <row r="55" spans="2:12" ht="16.5" customHeight="1" thickBot="1" x14ac:dyDescent="0.4">
      <c r="B55" s="9" t="s">
        <v>120</v>
      </c>
      <c r="C55" s="42">
        <f>C45+C53</f>
        <v>351002000000</v>
      </c>
      <c r="D55" s="42">
        <f>D45+D53</f>
        <v>352755000000</v>
      </c>
      <c r="E55" s="42">
        <f>E45+E53</f>
        <v>352583000000</v>
      </c>
      <c r="F55" s="42">
        <f>F45+F53</f>
        <v>364980000000</v>
      </c>
      <c r="G55" s="42">
        <f>G45+G53</f>
        <v>359241000000</v>
      </c>
      <c r="H55" s="42">
        <f t="shared" ref="H55:L55" si="11">H45+H53</f>
        <v>391085405577.38428</v>
      </c>
      <c r="I55" s="42">
        <f t="shared" si="11"/>
        <v>441614001024.24951</v>
      </c>
      <c r="J55" s="42">
        <f t="shared" si="11"/>
        <v>512653764449.74792</v>
      </c>
      <c r="K55" s="42">
        <f t="shared" si="11"/>
        <v>602659506227.23718</v>
      </c>
      <c r="L55" s="42">
        <f t="shared" si="11"/>
        <v>712826096735.66736</v>
      </c>
    </row>
    <row r="56" spans="2:12" ht="6" customHeight="1" x14ac:dyDescent="0.35">
      <c r="B56" s="5"/>
      <c r="C56" s="43"/>
      <c r="D56" s="43"/>
      <c r="E56" s="43"/>
      <c r="F56" s="43"/>
      <c r="G56" s="43"/>
    </row>
    <row r="57" spans="2:12" ht="15.75" customHeight="1" x14ac:dyDescent="0.35">
      <c r="B57" s="13" t="s">
        <v>121</v>
      </c>
      <c r="C57" s="128">
        <f>C27-C55</f>
        <v>0</v>
      </c>
      <c r="D57" s="128">
        <f>D27-D55</f>
        <v>0</v>
      </c>
      <c r="E57" s="128">
        <f>E27-E55</f>
        <v>0</v>
      </c>
      <c r="F57" s="128">
        <f>F27-F55</f>
        <v>0</v>
      </c>
      <c r="G57" s="128">
        <f>G27-G55</f>
        <v>0</v>
      </c>
      <c r="H57" s="128">
        <f t="shared" ref="H57:L57" si="12">H27-H55</f>
        <v>0</v>
      </c>
      <c r="I57" s="128">
        <f t="shared" si="12"/>
        <v>0</v>
      </c>
      <c r="J57" s="128">
        <f t="shared" si="12"/>
        <v>0</v>
      </c>
      <c r="K57" s="128">
        <f t="shared" si="12"/>
        <v>0</v>
      </c>
      <c r="L57" s="128">
        <f t="shared" si="12"/>
        <v>0</v>
      </c>
    </row>
    <row r="58" spans="2:12" x14ac:dyDescent="0.35">
      <c r="B58" s="120" t="s">
        <v>289</v>
      </c>
      <c r="C58" s="141" t="b">
        <f>C57=0</f>
        <v>1</v>
      </c>
      <c r="D58" s="142" t="b">
        <f t="shared" ref="D58:G58" si="13">D57=0</f>
        <v>1</v>
      </c>
      <c r="E58" s="142" t="b">
        <f t="shared" si="13"/>
        <v>1</v>
      </c>
      <c r="F58" s="142" t="b">
        <f t="shared" si="13"/>
        <v>1</v>
      </c>
      <c r="G58" s="143" t="b">
        <f t="shared" si="13"/>
        <v>1</v>
      </c>
      <c r="H58" s="141" t="b">
        <f t="shared" ref="H58:L58" si="14">H57=0</f>
        <v>1</v>
      </c>
      <c r="I58" s="142" t="b">
        <f t="shared" si="14"/>
        <v>1</v>
      </c>
      <c r="J58" s="142" t="b">
        <f t="shared" si="14"/>
        <v>1</v>
      </c>
      <c r="K58" s="142" t="b">
        <f t="shared" si="14"/>
        <v>1</v>
      </c>
      <c r="L58" s="143" t="b">
        <f t="shared" si="14"/>
        <v>1</v>
      </c>
    </row>
    <row r="59" spans="2:12" x14ac:dyDescent="0.35">
      <c r="L59" s="312" t="b">
        <f>AND(C58:L58)</f>
        <v>1</v>
      </c>
    </row>
  </sheetData>
  <mergeCells count="7">
    <mergeCell ref="H38:L38"/>
    <mergeCell ref="H47:L47"/>
    <mergeCell ref="B1:G1"/>
    <mergeCell ref="B2:G2"/>
    <mergeCell ref="H7:L7"/>
    <mergeCell ref="H16:L16"/>
    <mergeCell ref="H30:L30"/>
  </mergeCells>
  <conditionalFormatting sqref="C58:L58 L59">
    <cfRule type="cellIs" dxfId="16" priority="3" operator="equal">
      <formula>TRUE</formula>
    </cfRule>
    <cfRule type="cellIs" dxfId="15" priority="4" operator="equal">
      <formula>FALSE</formula>
    </cfRule>
  </conditionalFormatting>
  <conditionalFormatting sqref="J1">
    <cfRule type="cellIs" dxfId="14" priority="1" operator="equal">
      <formula>TRUE</formula>
    </cfRule>
    <cfRule type="cellIs" dxfId="13" priority="2" operator="equal">
      <formula>FALSE</formula>
    </cfRule>
  </conditionalFormatting>
  <pageMargins left="0.5" right="0.5" top="0.75" bottom="0.75" header="0.511811023622047" footer="0.511811023622047"/>
  <pageSetup fitToHeight="0" orientation="landscape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9FAF6-D65A-4AB3-9F98-9C7FB134869A}">
  <sheetPr codeName="Sheet9">
    <tabColor rgb="FF0066FF"/>
  </sheetPr>
  <dimension ref="A1:O133"/>
  <sheetViews>
    <sheetView topLeftCell="B1" zoomScaleNormal="100" workbookViewId="0">
      <pane ySplit="2" topLeftCell="A3" activePane="bottomLeft" state="frozen"/>
      <selection sqref="A1:G1"/>
      <selection pane="bottomLeft" activeCell="N6" sqref="A6:XFD6"/>
    </sheetView>
  </sheetViews>
  <sheetFormatPr defaultRowHeight="14.5" x14ac:dyDescent="0.35"/>
  <cols>
    <col min="1" max="1" width="73" bestFit="1" customWidth="1"/>
    <col min="2" max="7" width="14.08984375" bestFit="1" customWidth="1"/>
    <col min="9" max="9" width="73" bestFit="1" customWidth="1"/>
    <col min="10" max="14" width="14.08984375" bestFit="1" customWidth="1"/>
    <col min="15" max="15" width="14.08984375" hidden="1" customWidth="1"/>
  </cols>
  <sheetData>
    <row r="1" spans="1:15" ht="15" thickBot="1" x14ac:dyDescent="0.4">
      <c r="A1" s="372" t="s">
        <v>221</v>
      </c>
      <c r="B1" s="373"/>
      <c r="C1" s="373"/>
      <c r="D1" s="373"/>
      <c r="E1" s="373"/>
      <c r="F1" s="373"/>
      <c r="G1" s="374"/>
      <c r="I1" s="383" t="s">
        <v>222</v>
      </c>
      <c r="J1" s="384"/>
      <c r="K1" s="384"/>
      <c r="L1" s="384"/>
      <c r="M1" s="384"/>
      <c r="N1" s="384"/>
      <c r="O1" s="374"/>
    </row>
    <row r="2" spans="1:15" ht="15" thickBot="1" x14ac:dyDescent="0.4">
      <c r="A2" s="19" t="s">
        <v>301</v>
      </c>
      <c r="B2" s="19" t="s">
        <v>176</v>
      </c>
      <c r="C2" s="19" t="s">
        <v>177</v>
      </c>
      <c r="D2" s="19" t="s">
        <v>178</v>
      </c>
      <c r="E2" s="19" t="s">
        <v>179</v>
      </c>
      <c r="F2" s="19" t="s">
        <v>180</v>
      </c>
      <c r="G2" s="19" t="s">
        <v>181</v>
      </c>
      <c r="I2" s="129" t="str">
        <f>A2</f>
        <v>AAPL_balance-sheet_Annual_As_Originally_Reported</v>
      </c>
      <c r="J2" s="130" t="str">
        <f t="shared" ref="J2:O29" si="0">B2</f>
        <v>2021</v>
      </c>
      <c r="K2" s="130" t="str">
        <f t="shared" si="0"/>
        <v>2022</v>
      </c>
      <c r="L2" s="130" t="str">
        <f t="shared" si="0"/>
        <v>2023</v>
      </c>
      <c r="M2" s="130" t="str">
        <f t="shared" si="0"/>
        <v>2024</v>
      </c>
      <c r="N2" s="131" t="str">
        <f t="shared" si="0"/>
        <v>2025</v>
      </c>
      <c r="O2" s="19" t="str">
        <f t="shared" si="0"/>
        <v>TTM</v>
      </c>
    </row>
    <row r="3" spans="1:15" ht="15" thickBot="1" x14ac:dyDescent="0.4">
      <c r="A3" t="s">
        <v>302</v>
      </c>
      <c r="B3" s="20">
        <v>351002000000</v>
      </c>
      <c r="C3" s="20">
        <v>352755000000</v>
      </c>
      <c r="D3" s="20">
        <v>352583000000</v>
      </c>
      <c r="E3" s="20">
        <v>364980000000</v>
      </c>
      <c r="F3" s="20">
        <v>359241000000</v>
      </c>
      <c r="G3" s="20"/>
      <c r="I3" s="132" t="str">
        <f>A3</f>
        <v>Total Assets</v>
      </c>
      <c r="J3" s="133">
        <f t="shared" si="0"/>
        <v>351002000000</v>
      </c>
      <c r="K3" s="133">
        <f t="shared" si="0"/>
        <v>352755000000</v>
      </c>
      <c r="L3" s="133">
        <f t="shared" si="0"/>
        <v>352583000000</v>
      </c>
      <c r="M3" s="133">
        <f t="shared" si="0"/>
        <v>364980000000</v>
      </c>
      <c r="N3" s="134">
        <f t="shared" si="0"/>
        <v>359241000000</v>
      </c>
    </row>
    <row r="4" spans="1:15" x14ac:dyDescent="0.35">
      <c r="A4" t="s">
        <v>303</v>
      </c>
      <c r="B4" s="20">
        <v>134836000000</v>
      </c>
      <c r="C4" s="20">
        <v>135405000000</v>
      </c>
      <c r="D4" s="20">
        <v>143566000000</v>
      </c>
      <c r="E4" s="20">
        <v>152987000000</v>
      </c>
      <c r="F4" s="20">
        <v>147957000000</v>
      </c>
      <c r="G4" s="20"/>
      <c r="I4" s="92" t="str">
        <f t="shared" ref="I4:I67" si="1">A4</f>
        <v xml:space="preserve">    Total Current Assets</v>
      </c>
      <c r="J4" s="93">
        <f t="shared" si="0"/>
        <v>134836000000</v>
      </c>
      <c r="K4" s="93">
        <f t="shared" si="0"/>
        <v>135405000000</v>
      </c>
      <c r="L4" s="93">
        <f t="shared" si="0"/>
        <v>143566000000</v>
      </c>
      <c r="M4" s="93">
        <f t="shared" si="0"/>
        <v>152987000000</v>
      </c>
      <c r="N4" s="94">
        <f t="shared" si="0"/>
        <v>147957000000</v>
      </c>
    </row>
    <row r="5" spans="1:15" x14ac:dyDescent="0.35">
      <c r="A5" t="s">
        <v>304</v>
      </c>
      <c r="B5" s="20">
        <v>62639000000</v>
      </c>
      <c r="C5" s="20">
        <v>48304000000</v>
      </c>
      <c r="D5" s="20">
        <v>61555000000</v>
      </c>
      <c r="E5" s="20">
        <v>65171000000</v>
      </c>
      <c r="F5" s="20">
        <v>54697000000</v>
      </c>
      <c r="G5" s="20"/>
      <c r="I5" s="95" t="str">
        <f t="shared" si="1"/>
        <v xml:space="preserve">        Cash, Cash Equivalents and Short Term Investments</v>
      </c>
      <c r="J5" s="63">
        <f t="shared" si="0"/>
        <v>62639000000</v>
      </c>
      <c r="K5" s="63">
        <f t="shared" si="0"/>
        <v>48304000000</v>
      </c>
      <c r="L5" s="63">
        <f t="shared" si="0"/>
        <v>61555000000</v>
      </c>
      <c r="M5" s="63">
        <f t="shared" si="0"/>
        <v>65171000000</v>
      </c>
      <c r="N5" s="96">
        <f t="shared" si="0"/>
        <v>54697000000</v>
      </c>
    </row>
    <row r="6" spans="1:15" x14ac:dyDescent="0.35">
      <c r="A6" t="s">
        <v>305</v>
      </c>
      <c r="B6" s="20">
        <v>34940000000</v>
      </c>
      <c r="C6" s="20">
        <v>23646000000</v>
      </c>
      <c r="D6" s="20">
        <v>29965000000</v>
      </c>
      <c r="E6" s="20">
        <v>29943000000</v>
      </c>
      <c r="F6" s="20">
        <v>35934000000</v>
      </c>
      <c r="G6" s="20"/>
      <c r="I6" s="135" t="str">
        <f t="shared" si="1"/>
        <v xml:space="preserve">            Cash and Cash Equivalents</v>
      </c>
      <c r="J6" s="69">
        <f t="shared" si="0"/>
        <v>34940000000</v>
      </c>
      <c r="K6" s="69">
        <f t="shared" si="0"/>
        <v>23646000000</v>
      </c>
      <c r="L6" s="69">
        <f t="shared" si="0"/>
        <v>29965000000</v>
      </c>
      <c r="M6" s="69">
        <f t="shared" si="0"/>
        <v>29943000000</v>
      </c>
      <c r="N6" s="99">
        <f t="shared" si="0"/>
        <v>35934000000</v>
      </c>
    </row>
    <row r="7" spans="1:15" x14ac:dyDescent="0.35">
      <c r="A7" t="s">
        <v>306</v>
      </c>
      <c r="B7" s="20">
        <v>17305000000</v>
      </c>
      <c r="C7" s="20">
        <v>18546000000</v>
      </c>
      <c r="D7" s="20">
        <v>28359000000</v>
      </c>
      <c r="E7" s="20">
        <v>27199000000</v>
      </c>
      <c r="F7" s="20">
        <v>28267000000</v>
      </c>
      <c r="G7" s="20"/>
      <c r="I7" s="95" t="str">
        <f t="shared" si="1"/>
        <v xml:space="preserve">                Cash</v>
      </c>
      <c r="J7" s="63">
        <f t="shared" si="0"/>
        <v>17305000000</v>
      </c>
      <c r="K7" s="63">
        <f t="shared" si="0"/>
        <v>18546000000</v>
      </c>
      <c r="L7" s="63">
        <f t="shared" si="0"/>
        <v>28359000000</v>
      </c>
      <c r="M7" s="63">
        <f t="shared" si="0"/>
        <v>27199000000</v>
      </c>
      <c r="N7" s="96">
        <f t="shared" si="0"/>
        <v>28267000000</v>
      </c>
    </row>
    <row r="8" spans="1:15" x14ac:dyDescent="0.35">
      <c r="A8" t="s">
        <v>307</v>
      </c>
      <c r="B8" s="20">
        <v>17635000000</v>
      </c>
      <c r="C8" s="20">
        <v>5100000000</v>
      </c>
      <c r="D8" s="20">
        <v>1606000000</v>
      </c>
      <c r="E8" s="20">
        <v>2744000000</v>
      </c>
      <c r="F8" s="20">
        <v>7667000000</v>
      </c>
      <c r="G8" s="20"/>
      <c r="I8" s="95" t="str">
        <f t="shared" si="1"/>
        <v xml:space="preserve">                Cash Equivalents</v>
      </c>
      <c r="J8" s="63">
        <f t="shared" si="0"/>
        <v>17635000000</v>
      </c>
      <c r="K8" s="63">
        <f t="shared" si="0"/>
        <v>5100000000</v>
      </c>
      <c r="L8" s="63">
        <f t="shared" si="0"/>
        <v>1606000000</v>
      </c>
      <c r="M8" s="63">
        <f t="shared" si="0"/>
        <v>2744000000</v>
      </c>
      <c r="N8" s="96">
        <f t="shared" si="0"/>
        <v>7667000000</v>
      </c>
    </row>
    <row r="9" spans="1:15" x14ac:dyDescent="0.35">
      <c r="A9" t="s">
        <v>308</v>
      </c>
      <c r="B9" s="20">
        <v>27699000000</v>
      </c>
      <c r="C9" s="20">
        <v>24658000000</v>
      </c>
      <c r="D9" s="20">
        <v>31590000000</v>
      </c>
      <c r="E9" s="20">
        <v>35228000000</v>
      </c>
      <c r="F9" s="20">
        <v>18763000000</v>
      </c>
      <c r="G9" s="20"/>
      <c r="I9" s="95" t="str">
        <f t="shared" si="1"/>
        <v xml:space="preserve">            Short Term Investments</v>
      </c>
      <c r="J9" s="69">
        <f t="shared" si="0"/>
        <v>27699000000</v>
      </c>
      <c r="K9" s="69">
        <f t="shared" si="0"/>
        <v>24658000000</v>
      </c>
      <c r="L9" s="69">
        <f t="shared" si="0"/>
        <v>31590000000</v>
      </c>
      <c r="M9" s="69">
        <f t="shared" si="0"/>
        <v>35228000000</v>
      </c>
      <c r="N9" s="99">
        <f t="shared" si="0"/>
        <v>18763000000</v>
      </c>
    </row>
    <row r="10" spans="1:15" x14ac:dyDescent="0.35">
      <c r="A10" t="s">
        <v>309</v>
      </c>
      <c r="B10" s="20">
        <v>27699000000</v>
      </c>
      <c r="C10" s="20">
        <v>24658000000</v>
      </c>
      <c r="D10" s="20">
        <v>31590000000</v>
      </c>
      <c r="E10" s="20">
        <v>35228000000</v>
      </c>
      <c r="F10" s="20">
        <v>18763000000</v>
      </c>
      <c r="G10" s="20"/>
      <c r="I10" s="95" t="str">
        <f t="shared" si="1"/>
        <v xml:space="preserve">                Other Short Term Investments</v>
      </c>
      <c r="J10" s="63">
        <f t="shared" si="0"/>
        <v>27699000000</v>
      </c>
      <c r="K10" s="63">
        <f t="shared" si="0"/>
        <v>24658000000</v>
      </c>
      <c r="L10" s="63">
        <f t="shared" si="0"/>
        <v>31590000000</v>
      </c>
      <c r="M10" s="63">
        <f t="shared" si="0"/>
        <v>35228000000</v>
      </c>
      <c r="N10" s="96">
        <f t="shared" si="0"/>
        <v>18763000000</v>
      </c>
    </row>
    <row r="11" spans="1:15" x14ac:dyDescent="0.35">
      <c r="A11" t="s">
        <v>310</v>
      </c>
      <c r="B11" s="20">
        <v>6580000000</v>
      </c>
      <c r="C11" s="20">
        <v>4946000000</v>
      </c>
      <c r="D11" s="20">
        <v>6331000000</v>
      </c>
      <c r="E11" s="20">
        <v>7286000000</v>
      </c>
      <c r="F11" s="20">
        <v>5718000000</v>
      </c>
      <c r="G11" s="20"/>
      <c r="I11" s="95" t="str">
        <f t="shared" si="1"/>
        <v xml:space="preserve">        Inventories</v>
      </c>
      <c r="J11" s="69">
        <f t="shared" si="0"/>
        <v>6580000000</v>
      </c>
      <c r="K11" s="69">
        <f t="shared" si="0"/>
        <v>4946000000</v>
      </c>
      <c r="L11" s="69">
        <f t="shared" si="0"/>
        <v>6331000000</v>
      </c>
      <c r="M11" s="69">
        <f t="shared" si="0"/>
        <v>7286000000</v>
      </c>
      <c r="N11" s="99">
        <f t="shared" si="0"/>
        <v>5718000000</v>
      </c>
    </row>
    <row r="12" spans="1:15" x14ac:dyDescent="0.35">
      <c r="A12" t="s">
        <v>311</v>
      </c>
      <c r="B12" s="20">
        <v>51506000000</v>
      </c>
      <c r="C12" s="20">
        <v>60932000000</v>
      </c>
      <c r="D12" s="20">
        <v>60985000000</v>
      </c>
      <c r="E12" s="20">
        <v>66243000000</v>
      </c>
      <c r="F12" s="20">
        <v>72957000000</v>
      </c>
      <c r="I12" s="95" t="str">
        <f t="shared" si="1"/>
        <v xml:space="preserve">        Trade and Other Receivables, Current</v>
      </c>
      <c r="J12" s="63">
        <f t="shared" si="0"/>
        <v>51506000000</v>
      </c>
      <c r="K12" s="63">
        <f t="shared" si="0"/>
        <v>60932000000</v>
      </c>
      <c r="L12" s="63">
        <f t="shared" si="0"/>
        <v>60985000000</v>
      </c>
      <c r="M12" s="63">
        <f t="shared" si="0"/>
        <v>66243000000</v>
      </c>
      <c r="N12" s="96">
        <f t="shared" si="0"/>
        <v>72957000000</v>
      </c>
    </row>
    <row r="13" spans="1:15" x14ac:dyDescent="0.35">
      <c r="A13" t="s">
        <v>312</v>
      </c>
      <c r="B13" s="20">
        <v>26278000000</v>
      </c>
      <c r="C13" s="20">
        <v>28184000000</v>
      </c>
      <c r="D13" s="20">
        <v>29508000000</v>
      </c>
      <c r="E13" s="20">
        <v>33410000000</v>
      </c>
      <c r="F13" s="20">
        <v>39777000000</v>
      </c>
      <c r="G13" s="20"/>
      <c r="I13" s="95" t="str">
        <f t="shared" si="1"/>
        <v xml:space="preserve">            Trade/Accounts Receivable, Current</v>
      </c>
      <c r="J13" s="69">
        <f t="shared" si="0"/>
        <v>26278000000</v>
      </c>
      <c r="K13" s="69">
        <f t="shared" si="0"/>
        <v>28184000000</v>
      </c>
      <c r="L13" s="69">
        <f t="shared" si="0"/>
        <v>29508000000</v>
      </c>
      <c r="M13" s="69">
        <f t="shared" si="0"/>
        <v>33410000000</v>
      </c>
      <c r="N13" s="99">
        <f t="shared" si="0"/>
        <v>39777000000</v>
      </c>
    </row>
    <row r="14" spans="1:15" x14ac:dyDescent="0.35">
      <c r="A14" t="s">
        <v>313</v>
      </c>
      <c r="B14" t="s">
        <v>192</v>
      </c>
      <c r="C14" t="s">
        <v>192</v>
      </c>
      <c r="D14" t="s">
        <v>192</v>
      </c>
      <c r="E14" t="s">
        <v>192</v>
      </c>
      <c r="F14" t="s">
        <v>192</v>
      </c>
      <c r="G14" s="20"/>
      <c r="I14" s="95" t="str">
        <f t="shared" si="1"/>
        <v xml:space="preserve">                Gross Trade/Accounts Receivable, Current</v>
      </c>
      <c r="J14" s="74" t="str">
        <f t="shared" si="0"/>
        <v/>
      </c>
      <c r="K14" s="74" t="str">
        <f t="shared" si="0"/>
        <v/>
      </c>
      <c r="L14" s="74" t="str">
        <f t="shared" si="0"/>
        <v/>
      </c>
      <c r="M14" s="74" t="str">
        <f t="shared" si="0"/>
        <v/>
      </c>
      <c r="N14" s="109" t="str">
        <f t="shared" si="0"/>
        <v/>
      </c>
    </row>
    <row r="15" spans="1:15" x14ac:dyDescent="0.35">
      <c r="A15" t="s">
        <v>314</v>
      </c>
      <c r="B15" t="s">
        <v>192</v>
      </c>
      <c r="C15" t="s">
        <v>192</v>
      </c>
      <c r="D15" t="s">
        <v>192</v>
      </c>
      <c r="E15" t="s">
        <v>192</v>
      </c>
      <c r="F15" t="s">
        <v>192</v>
      </c>
      <c r="G15" s="20"/>
      <c r="I15" s="95" t="str">
        <f t="shared" si="1"/>
        <v xml:space="preserve">                Allowance/Adjustments for Trade/Accounts Receivable, Current</v>
      </c>
      <c r="J15" s="74" t="str">
        <f t="shared" si="0"/>
        <v/>
      </c>
      <c r="K15" s="74" t="str">
        <f t="shared" si="0"/>
        <v/>
      </c>
      <c r="L15" s="74" t="str">
        <f t="shared" si="0"/>
        <v/>
      </c>
      <c r="M15" s="74" t="str">
        <f t="shared" si="0"/>
        <v/>
      </c>
      <c r="N15" s="109" t="str">
        <f t="shared" si="0"/>
        <v/>
      </c>
    </row>
    <row r="16" spans="1:15" x14ac:dyDescent="0.35">
      <c r="A16" t="s">
        <v>315</v>
      </c>
      <c r="B16" s="20">
        <v>25228000000</v>
      </c>
      <c r="C16" s="20">
        <v>32748000000</v>
      </c>
      <c r="D16" s="20">
        <v>31477000000</v>
      </c>
      <c r="E16" s="20">
        <v>32833000000</v>
      </c>
      <c r="F16" s="20">
        <v>33180000000</v>
      </c>
      <c r="G16" s="20"/>
      <c r="I16" s="135" t="str">
        <f t="shared" si="1"/>
        <v xml:space="preserve">            Other Receivables, Current</v>
      </c>
      <c r="J16" s="69">
        <f t="shared" si="0"/>
        <v>25228000000</v>
      </c>
      <c r="K16" s="69">
        <f t="shared" si="0"/>
        <v>32748000000</v>
      </c>
      <c r="L16" s="69">
        <f t="shared" si="0"/>
        <v>31477000000</v>
      </c>
      <c r="M16" s="69">
        <f t="shared" si="0"/>
        <v>32833000000</v>
      </c>
      <c r="N16" s="99">
        <f t="shared" si="0"/>
        <v>33180000000</v>
      </c>
    </row>
    <row r="17" spans="1:14" ht="15" thickBot="1" x14ac:dyDescent="0.4">
      <c r="A17" t="s">
        <v>316</v>
      </c>
      <c r="B17" s="20">
        <v>14111000000</v>
      </c>
      <c r="C17" s="20">
        <v>21223000000</v>
      </c>
      <c r="D17" s="20">
        <v>14695000000</v>
      </c>
      <c r="E17" s="20">
        <v>14287000000</v>
      </c>
      <c r="F17" s="20">
        <v>14585000000</v>
      </c>
      <c r="G17" s="20"/>
      <c r="I17" s="105" t="str">
        <f t="shared" si="1"/>
        <v xml:space="preserve">        Other Current Assets</v>
      </c>
      <c r="J17" s="112">
        <f t="shared" si="0"/>
        <v>14111000000</v>
      </c>
      <c r="K17" s="112">
        <f t="shared" si="0"/>
        <v>21223000000</v>
      </c>
      <c r="L17" s="112">
        <f t="shared" si="0"/>
        <v>14695000000</v>
      </c>
      <c r="M17" s="112">
        <f t="shared" si="0"/>
        <v>14287000000</v>
      </c>
      <c r="N17" s="136">
        <f t="shared" si="0"/>
        <v>14585000000</v>
      </c>
    </row>
    <row r="18" spans="1:14" x14ac:dyDescent="0.35">
      <c r="A18" t="s">
        <v>317</v>
      </c>
      <c r="B18" s="20">
        <v>216166000000</v>
      </c>
      <c r="C18" s="20">
        <v>217350000000</v>
      </c>
      <c r="D18" s="20">
        <v>209017000000</v>
      </c>
      <c r="E18" s="20">
        <v>211993000000</v>
      </c>
      <c r="F18" s="20">
        <v>211284000000</v>
      </c>
      <c r="G18" s="20"/>
      <c r="I18" s="92" t="str">
        <f t="shared" si="1"/>
        <v xml:space="preserve">    Total Non-Current Assets</v>
      </c>
      <c r="J18" s="93">
        <f t="shared" si="0"/>
        <v>216166000000</v>
      </c>
      <c r="K18" s="93">
        <f t="shared" si="0"/>
        <v>217350000000</v>
      </c>
      <c r="L18" s="93">
        <f t="shared" si="0"/>
        <v>209017000000</v>
      </c>
      <c r="M18" s="93">
        <f t="shared" si="0"/>
        <v>211993000000</v>
      </c>
      <c r="N18" s="94">
        <f t="shared" si="0"/>
        <v>211284000000</v>
      </c>
    </row>
    <row r="19" spans="1:14" x14ac:dyDescent="0.35">
      <c r="A19" t="s">
        <v>318</v>
      </c>
      <c r="B19" s="20">
        <v>49527000000</v>
      </c>
      <c r="C19" s="20">
        <v>52534000000</v>
      </c>
      <c r="D19" s="20">
        <v>43715000000</v>
      </c>
      <c r="E19" s="20">
        <v>45680000000</v>
      </c>
      <c r="F19" s="20">
        <v>49834000000</v>
      </c>
      <c r="G19" s="20"/>
      <c r="I19" s="95" t="str">
        <f t="shared" si="1"/>
        <v xml:space="preserve">        Net Property, Plant and Equipment</v>
      </c>
      <c r="J19" s="69">
        <f t="shared" si="0"/>
        <v>49527000000</v>
      </c>
      <c r="K19" s="69">
        <f t="shared" si="0"/>
        <v>52534000000</v>
      </c>
      <c r="L19" s="69">
        <f t="shared" si="0"/>
        <v>43715000000</v>
      </c>
      <c r="M19" s="69">
        <f t="shared" si="0"/>
        <v>45680000000</v>
      </c>
      <c r="N19" s="99">
        <f t="shared" si="0"/>
        <v>49834000000</v>
      </c>
    </row>
    <row r="20" spans="1:14" x14ac:dyDescent="0.35">
      <c r="A20" t="s">
        <v>319</v>
      </c>
      <c r="B20" s="20">
        <v>119810000000</v>
      </c>
      <c r="C20" s="20">
        <v>124874000000</v>
      </c>
      <c r="D20" s="20">
        <v>114599000000</v>
      </c>
      <c r="E20" s="20">
        <v>119128000000</v>
      </c>
      <c r="F20" s="20">
        <v>125848000000</v>
      </c>
      <c r="G20" s="20"/>
      <c r="I20" s="95" t="str">
        <f t="shared" si="1"/>
        <v xml:space="preserve">            Gross Property, Plant and Equipment</v>
      </c>
      <c r="J20" s="69">
        <f t="shared" si="0"/>
        <v>119810000000</v>
      </c>
      <c r="K20" s="69">
        <f t="shared" si="0"/>
        <v>124874000000</v>
      </c>
      <c r="L20" s="69">
        <f t="shared" si="0"/>
        <v>114599000000</v>
      </c>
      <c r="M20" s="69">
        <f t="shared" si="0"/>
        <v>119128000000</v>
      </c>
      <c r="N20" s="99">
        <f t="shared" si="0"/>
        <v>125848000000</v>
      </c>
    </row>
    <row r="21" spans="1:14" x14ac:dyDescent="0.35">
      <c r="A21" t="s">
        <v>320</v>
      </c>
      <c r="B21" s="20">
        <v>31064000000</v>
      </c>
      <c r="C21" s="20">
        <v>33397000000</v>
      </c>
      <c r="D21" s="20">
        <v>36285000000</v>
      </c>
      <c r="E21" s="20">
        <v>38923000000</v>
      </c>
      <c r="F21" s="20">
        <v>42428000000</v>
      </c>
      <c r="G21" s="20"/>
      <c r="I21" s="95" t="str">
        <f t="shared" si="1"/>
        <v xml:space="preserve">                Properties</v>
      </c>
      <c r="J21" s="63">
        <f t="shared" si="0"/>
        <v>31064000000</v>
      </c>
      <c r="K21" s="63">
        <f t="shared" si="0"/>
        <v>33397000000</v>
      </c>
      <c r="L21" s="63">
        <f t="shared" si="0"/>
        <v>36285000000</v>
      </c>
      <c r="M21" s="63">
        <f t="shared" si="0"/>
        <v>38923000000</v>
      </c>
      <c r="N21" s="96">
        <f t="shared" si="0"/>
        <v>42428000000</v>
      </c>
    </row>
    <row r="22" spans="1:14" x14ac:dyDescent="0.35">
      <c r="A22" t="s">
        <v>321</v>
      </c>
      <c r="B22" s="20">
        <v>20041000000</v>
      </c>
      <c r="C22" s="20">
        <v>22126000000</v>
      </c>
      <c r="D22" s="20">
        <v>23446000000</v>
      </c>
      <c r="E22" s="20">
        <v>24690000000</v>
      </c>
      <c r="F22" s="20">
        <v>27337000000</v>
      </c>
      <c r="G22" s="20"/>
      <c r="I22" s="95" t="str">
        <f t="shared" si="1"/>
        <v xml:space="preserve">                    Land and Improvements</v>
      </c>
      <c r="J22" s="63">
        <f t="shared" si="0"/>
        <v>20041000000</v>
      </c>
      <c r="K22" s="63">
        <f t="shared" si="0"/>
        <v>22126000000</v>
      </c>
      <c r="L22" s="63">
        <f t="shared" si="0"/>
        <v>23446000000</v>
      </c>
      <c r="M22" s="63">
        <f t="shared" si="0"/>
        <v>24690000000</v>
      </c>
      <c r="N22" s="96">
        <f t="shared" si="0"/>
        <v>27337000000</v>
      </c>
    </row>
    <row r="23" spans="1:14" x14ac:dyDescent="0.35">
      <c r="A23" t="s">
        <v>322</v>
      </c>
      <c r="B23" s="20">
        <v>11023000000</v>
      </c>
      <c r="C23" s="20">
        <v>11271000000</v>
      </c>
      <c r="D23" s="20">
        <v>12839000000</v>
      </c>
      <c r="E23" s="20">
        <v>14233000000</v>
      </c>
      <c r="F23" s="20">
        <v>15091000000</v>
      </c>
      <c r="I23" s="95" t="str">
        <f t="shared" si="1"/>
        <v xml:space="preserve">                    Leasehold and Improvements</v>
      </c>
      <c r="J23" s="63">
        <f t="shared" si="0"/>
        <v>11023000000</v>
      </c>
      <c r="K23" s="63">
        <f t="shared" si="0"/>
        <v>11271000000</v>
      </c>
      <c r="L23" s="63">
        <f t="shared" si="0"/>
        <v>12839000000</v>
      </c>
      <c r="M23" s="63">
        <f t="shared" si="0"/>
        <v>14233000000</v>
      </c>
      <c r="N23" s="96">
        <f t="shared" si="0"/>
        <v>15091000000</v>
      </c>
    </row>
    <row r="24" spans="1:14" x14ac:dyDescent="0.35">
      <c r="A24" t="s">
        <v>323</v>
      </c>
      <c r="B24" s="20">
        <v>78659000000</v>
      </c>
      <c r="C24" s="20">
        <v>81060000000</v>
      </c>
      <c r="D24" s="20">
        <v>78314000000</v>
      </c>
      <c r="E24" s="20">
        <v>80205000000</v>
      </c>
      <c r="F24" s="20">
        <v>83420000000</v>
      </c>
      <c r="G24" s="20"/>
      <c r="I24" s="95" t="str">
        <f t="shared" si="1"/>
        <v xml:space="preserve">                Machinery, Furniture and Equipment</v>
      </c>
      <c r="J24" s="63">
        <f t="shared" si="0"/>
        <v>78659000000</v>
      </c>
      <c r="K24" s="63">
        <f t="shared" si="0"/>
        <v>81060000000</v>
      </c>
      <c r="L24" s="63">
        <f t="shared" si="0"/>
        <v>78314000000</v>
      </c>
      <c r="M24" s="63">
        <f t="shared" si="0"/>
        <v>80205000000</v>
      </c>
      <c r="N24" s="96">
        <f t="shared" si="0"/>
        <v>83420000000</v>
      </c>
    </row>
    <row r="25" spans="1:14" x14ac:dyDescent="0.35">
      <c r="A25" t="s">
        <v>324</v>
      </c>
      <c r="B25" s="20">
        <v>78659000000</v>
      </c>
      <c r="C25" s="20">
        <v>81060000000</v>
      </c>
      <c r="D25" s="20">
        <v>78314000000</v>
      </c>
      <c r="E25" s="20">
        <v>80205000000</v>
      </c>
      <c r="F25" s="20">
        <v>83420000000</v>
      </c>
      <c r="G25" s="20"/>
      <c r="I25" s="95" t="str">
        <f t="shared" si="1"/>
        <v xml:space="preserve">                    Plant and Machinery</v>
      </c>
      <c r="J25" s="63">
        <f t="shared" si="0"/>
        <v>78659000000</v>
      </c>
      <c r="K25" s="63">
        <f t="shared" si="0"/>
        <v>81060000000</v>
      </c>
      <c r="L25" s="63">
        <f t="shared" si="0"/>
        <v>78314000000</v>
      </c>
      <c r="M25" s="63">
        <f t="shared" si="0"/>
        <v>80205000000</v>
      </c>
      <c r="N25" s="96">
        <f t="shared" si="0"/>
        <v>83420000000</v>
      </c>
    </row>
    <row r="26" spans="1:14" x14ac:dyDescent="0.35">
      <c r="A26" t="s">
        <v>325</v>
      </c>
      <c r="B26" s="20">
        <v>10087000000</v>
      </c>
      <c r="C26" s="20">
        <v>10417000000</v>
      </c>
      <c r="D26" t="s">
        <v>192</v>
      </c>
      <c r="E26" t="s">
        <v>192</v>
      </c>
      <c r="F26" t="s">
        <v>192</v>
      </c>
      <c r="G26" s="20"/>
      <c r="I26" s="95" t="str">
        <f t="shared" si="1"/>
        <v xml:space="preserve">                Leased Property, Plant and Equipment</v>
      </c>
      <c r="J26" s="63">
        <f t="shared" si="0"/>
        <v>10087000000</v>
      </c>
      <c r="K26" s="63">
        <f t="shared" si="0"/>
        <v>10417000000</v>
      </c>
      <c r="L26" s="74" t="str">
        <f t="shared" si="0"/>
        <v/>
      </c>
      <c r="M26" s="74" t="str">
        <f t="shared" si="0"/>
        <v/>
      </c>
      <c r="N26" s="109" t="str">
        <f t="shared" si="0"/>
        <v/>
      </c>
    </row>
    <row r="27" spans="1:14" x14ac:dyDescent="0.35">
      <c r="A27" t="s">
        <v>326</v>
      </c>
      <c r="B27" s="20">
        <v>-70283000000</v>
      </c>
      <c r="C27" s="20">
        <v>-72340000000</v>
      </c>
      <c r="D27" s="20">
        <v>-70884000000</v>
      </c>
      <c r="E27" s="20">
        <v>-73448000000</v>
      </c>
      <c r="F27" s="20">
        <v>-76014000000</v>
      </c>
      <c r="G27" s="20"/>
      <c r="I27" s="95" t="str">
        <f t="shared" si="1"/>
        <v xml:space="preserve">            Accumulated Depreciation and Impairment</v>
      </c>
      <c r="J27" s="69">
        <f t="shared" si="0"/>
        <v>-70283000000</v>
      </c>
      <c r="K27" s="69">
        <f t="shared" si="0"/>
        <v>-72340000000</v>
      </c>
      <c r="L27" s="69">
        <f t="shared" si="0"/>
        <v>-70884000000</v>
      </c>
      <c r="M27" s="69">
        <f t="shared" si="0"/>
        <v>-73448000000</v>
      </c>
      <c r="N27" s="99">
        <f t="shared" si="0"/>
        <v>-76014000000</v>
      </c>
    </row>
    <row r="28" spans="1:14" x14ac:dyDescent="0.35">
      <c r="A28" t="s">
        <v>327</v>
      </c>
      <c r="B28" s="20">
        <v>-70283000000</v>
      </c>
      <c r="C28" s="20">
        <v>-72340000000</v>
      </c>
      <c r="D28" s="20">
        <v>-70884000000</v>
      </c>
      <c r="E28" s="20">
        <v>-73448000000</v>
      </c>
      <c r="F28" s="20">
        <v>-76014000000</v>
      </c>
      <c r="G28" s="20"/>
      <c r="I28" s="95" t="str">
        <f t="shared" si="1"/>
        <v xml:space="preserve">                Accumulated Depreciation</v>
      </c>
      <c r="J28" s="63">
        <f t="shared" si="0"/>
        <v>-70283000000</v>
      </c>
      <c r="K28" s="63">
        <f t="shared" si="0"/>
        <v>-72340000000</v>
      </c>
      <c r="L28" s="63">
        <f t="shared" si="0"/>
        <v>-70884000000</v>
      </c>
      <c r="M28" s="63">
        <f t="shared" si="0"/>
        <v>-73448000000</v>
      </c>
      <c r="N28" s="96">
        <f t="shared" si="0"/>
        <v>-76014000000</v>
      </c>
    </row>
    <row r="29" spans="1:14" x14ac:dyDescent="0.35">
      <c r="A29" t="s">
        <v>328</v>
      </c>
      <c r="B29" s="20">
        <v>127877000000</v>
      </c>
      <c r="C29" s="20">
        <v>120805000000</v>
      </c>
      <c r="D29" s="20">
        <v>100544000000</v>
      </c>
      <c r="E29" s="20">
        <v>91479000000</v>
      </c>
      <c r="F29" s="20">
        <v>77723000000</v>
      </c>
      <c r="G29" s="20"/>
      <c r="I29" s="95" t="str">
        <f t="shared" si="1"/>
        <v xml:space="preserve">        Total Long Term Investments</v>
      </c>
      <c r="J29" s="69">
        <f t="shared" si="0"/>
        <v>127877000000</v>
      </c>
      <c r="K29" s="69">
        <f t="shared" si="0"/>
        <v>120805000000</v>
      </c>
      <c r="L29" s="69">
        <f t="shared" si="0"/>
        <v>100544000000</v>
      </c>
      <c r="M29" s="69">
        <f t="shared" si="0"/>
        <v>91479000000</v>
      </c>
      <c r="N29" s="99">
        <f t="shared" si="0"/>
        <v>77723000000</v>
      </c>
    </row>
    <row r="30" spans="1:14" x14ac:dyDescent="0.35">
      <c r="A30" t="s">
        <v>329</v>
      </c>
      <c r="B30" t="s">
        <v>192</v>
      </c>
      <c r="C30" s="20">
        <v>120805000000</v>
      </c>
      <c r="D30" s="20">
        <v>100544000000</v>
      </c>
      <c r="E30" s="20">
        <v>91479000000</v>
      </c>
      <c r="F30" s="20">
        <v>77723000000</v>
      </c>
      <c r="G30" s="20"/>
      <c r="I30" s="95" t="str">
        <f t="shared" si="1"/>
        <v xml:space="preserve">            Investment in Financial Assets, Non-Current</v>
      </c>
      <c r="J30" s="74" t="str">
        <f t="shared" ref="J30:J93" si="2">B30</f>
        <v/>
      </c>
      <c r="K30" s="63">
        <f t="shared" ref="K30:K93" si="3">C30</f>
        <v>120805000000</v>
      </c>
      <c r="L30" s="63">
        <f t="shared" ref="L30:L93" si="4">D30</f>
        <v>100544000000</v>
      </c>
      <c r="M30" s="63">
        <f t="shared" ref="M30:M93" si="5">E30</f>
        <v>91479000000</v>
      </c>
      <c r="N30" s="96">
        <f t="shared" ref="N30:N93" si="6">F30</f>
        <v>77723000000</v>
      </c>
    </row>
    <row r="31" spans="1:14" x14ac:dyDescent="0.35">
      <c r="A31" t="s">
        <v>330</v>
      </c>
      <c r="B31" t="s">
        <v>192</v>
      </c>
      <c r="C31" s="20">
        <v>120805000000</v>
      </c>
      <c r="D31" t="s">
        <v>192</v>
      </c>
      <c r="E31" s="20">
        <v>91479000000</v>
      </c>
      <c r="F31" s="20">
        <v>77723000000</v>
      </c>
      <c r="G31" s="20"/>
      <c r="I31" s="95" t="str">
        <f t="shared" si="1"/>
        <v xml:space="preserve">                Other Financial Assets, Non-Current</v>
      </c>
      <c r="J31" s="76" t="str">
        <f t="shared" si="2"/>
        <v/>
      </c>
      <c r="K31" s="110">
        <f t="shared" si="3"/>
        <v>120805000000</v>
      </c>
      <c r="L31" s="138" t="str">
        <f t="shared" si="4"/>
        <v/>
      </c>
      <c r="M31" s="110">
        <f t="shared" si="5"/>
        <v>91479000000</v>
      </c>
      <c r="N31" s="111">
        <f t="shared" si="6"/>
        <v>77723000000</v>
      </c>
    </row>
    <row r="32" spans="1:14" x14ac:dyDescent="0.35">
      <c r="A32" t="s">
        <v>331</v>
      </c>
      <c r="B32" t="s">
        <v>192</v>
      </c>
      <c r="C32" t="s">
        <v>192</v>
      </c>
      <c r="D32" s="20">
        <v>100544000000</v>
      </c>
      <c r="E32" t="s">
        <v>192</v>
      </c>
      <c r="F32" t="s">
        <v>192</v>
      </c>
      <c r="I32" s="95" t="str">
        <f t="shared" si="1"/>
        <v xml:space="preserve">                Financial Investment Securities, Available-for-Sale &amp; Held-to-Maturity, Non-Current</v>
      </c>
      <c r="J32" s="74" t="str">
        <f t="shared" si="2"/>
        <v/>
      </c>
      <c r="K32" s="74" t="str">
        <f t="shared" si="3"/>
        <v/>
      </c>
      <c r="L32" s="63">
        <f t="shared" si="4"/>
        <v>100544000000</v>
      </c>
      <c r="M32" s="74" t="str">
        <f t="shared" si="5"/>
        <v/>
      </c>
      <c r="N32" s="109" t="str">
        <f t="shared" si="6"/>
        <v/>
      </c>
    </row>
    <row r="33" spans="1:14" x14ac:dyDescent="0.35">
      <c r="A33" t="s">
        <v>332</v>
      </c>
      <c r="B33" t="s">
        <v>192</v>
      </c>
      <c r="C33" t="s">
        <v>192</v>
      </c>
      <c r="D33" s="20">
        <v>100544000000</v>
      </c>
      <c r="E33" t="s">
        <v>192</v>
      </c>
      <c r="F33" t="s">
        <v>192</v>
      </c>
      <c r="I33" s="95" t="str">
        <f t="shared" si="1"/>
        <v xml:space="preserve">                    Available-for-Sale Securities, Non-Current</v>
      </c>
      <c r="J33" s="74" t="str">
        <f t="shared" si="2"/>
        <v/>
      </c>
      <c r="K33" s="74" t="str">
        <f t="shared" si="3"/>
        <v/>
      </c>
      <c r="L33" s="63">
        <f t="shared" si="4"/>
        <v>100544000000</v>
      </c>
      <c r="M33" s="74" t="str">
        <f t="shared" si="5"/>
        <v/>
      </c>
      <c r="N33" s="109" t="str">
        <f t="shared" si="6"/>
        <v/>
      </c>
    </row>
    <row r="34" spans="1:14" x14ac:dyDescent="0.35">
      <c r="A34" t="s">
        <v>333</v>
      </c>
      <c r="B34" s="20">
        <v>127877000000</v>
      </c>
      <c r="C34" t="s">
        <v>192</v>
      </c>
      <c r="D34" t="s">
        <v>192</v>
      </c>
      <c r="E34" t="s">
        <v>192</v>
      </c>
      <c r="F34" t="s">
        <v>192</v>
      </c>
      <c r="I34" s="95" t="str">
        <f t="shared" si="1"/>
        <v xml:space="preserve">            Other Investments, Non-Current</v>
      </c>
      <c r="J34" s="63">
        <f t="shared" si="2"/>
        <v>127877000000</v>
      </c>
      <c r="K34" s="74" t="str">
        <f t="shared" si="3"/>
        <v/>
      </c>
      <c r="L34" s="74" t="str">
        <f t="shared" si="4"/>
        <v/>
      </c>
      <c r="M34" s="74" t="str">
        <f t="shared" si="5"/>
        <v/>
      </c>
      <c r="N34" s="109" t="str">
        <f t="shared" si="6"/>
        <v/>
      </c>
    </row>
    <row r="35" spans="1:14" x14ac:dyDescent="0.35">
      <c r="A35" t="s">
        <v>334</v>
      </c>
      <c r="B35" t="s">
        <v>192</v>
      </c>
      <c r="C35" t="s">
        <v>192</v>
      </c>
      <c r="D35" s="20">
        <v>17852000000</v>
      </c>
      <c r="E35" s="20">
        <v>19499000000</v>
      </c>
      <c r="F35" s="20">
        <v>20777000000</v>
      </c>
      <c r="I35" s="95" t="str">
        <f t="shared" si="1"/>
        <v xml:space="preserve">        Deferred Tax Assets, Non-Current</v>
      </c>
      <c r="J35" s="76" t="str">
        <f t="shared" si="2"/>
        <v/>
      </c>
      <c r="K35" s="76" t="str">
        <f t="shared" si="3"/>
        <v/>
      </c>
      <c r="L35" s="69">
        <f t="shared" si="4"/>
        <v>17852000000</v>
      </c>
      <c r="M35" s="69">
        <f t="shared" si="5"/>
        <v>19499000000</v>
      </c>
      <c r="N35" s="99">
        <f t="shared" si="6"/>
        <v>20777000000</v>
      </c>
    </row>
    <row r="36" spans="1:14" x14ac:dyDescent="0.35">
      <c r="A36" t="s">
        <v>335</v>
      </c>
      <c r="B36" s="20">
        <v>38762000000</v>
      </c>
      <c r="C36" s="20">
        <v>44011000000</v>
      </c>
      <c r="D36" s="20">
        <v>46906000000</v>
      </c>
      <c r="E36" s="20">
        <v>55335000000</v>
      </c>
      <c r="F36" s="20">
        <v>62950000000</v>
      </c>
      <c r="G36" s="20"/>
      <c r="I36" s="95" t="str">
        <f t="shared" si="1"/>
        <v xml:space="preserve">        Other Non-Current Assets</v>
      </c>
      <c r="J36" s="69">
        <f t="shared" si="2"/>
        <v>38762000000</v>
      </c>
      <c r="K36" s="69">
        <f t="shared" si="3"/>
        <v>44011000000</v>
      </c>
      <c r="L36" s="69">
        <f t="shared" si="4"/>
        <v>46906000000</v>
      </c>
      <c r="M36" s="69">
        <f t="shared" si="5"/>
        <v>55335000000</v>
      </c>
      <c r="N36" s="99">
        <f t="shared" si="6"/>
        <v>62950000000</v>
      </c>
    </row>
    <row r="37" spans="1:14" x14ac:dyDescent="0.35">
      <c r="A37" t="s">
        <v>336</v>
      </c>
      <c r="B37" t="s">
        <v>192</v>
      </c>
      <c r="C37" t="s">
        <v>192</v>
      </c>
      <c r="D37" t="s">
        <v>192</v>
      </c>
      <c r="E37" t="s">
        <v>192</v>
      </c>
      <c r="F37" t="s">
        <v>192</v>
      </c>
      <c r="G37" s="20"/>
      <c r="I37" s="95" t="str">
        <f t="shared" si="1"/>
        <v xml:space="preserve">        Net Intangible Assets</v>
      </c>
      <c r="J37" s="74" t="str">
        <f t="shared" si="2"/>
        <v/>
      </c>
      <c r="K37" s="74" t="str">
        <f t="shared" si="3"/>
        <v/>
      </c>
      <c r="L37" s="74" t="str">
        <f t="shared" si="4"/>
        <v/>
      </c>
      <c r="M37" s="74" t="str">
        <f t="shared" si="5"/>
        <v/>
      </c>
      <c r="N37" s="109" t="str">
        <f t="shared" si="6"/>
        <v/>
      </c>
    </row>
    <row r="38" spans="1:14" x14ac:dyDescent="0.35">
      <c r="A38" t="s">
        <v>337</v>
      </c>
      <c r="B38" t="s">
        <v>192</v>
      </c>
      <c r="C38" t="s">
        <v>192</v>
      </c>
      <c r="D38" t="s">
        <v>192</v>
      </c>
      <c r="E38" t="s">
        <v>192</v>
      </c>
      <c r="F38" t="s">
        <v>192</v>
      </c>
      <c r="G38" s="20"/>
      <c r="I38" s="95" t="str">
        <f t="shared" si="1"/>
        <v xml:space="preserve">            Gross Goodwill and Other Intangible Assets</v>
      </c>
      <c r="J38" s="74" t="str">
        <f t="shared" si="2"/>
        <v/>
      </c>
      <c r="K38" s="74" t="str">
        <f t="shared" si="3"/>
        <v/>
      </c>
      <c r="L38" s="74" t="str">
        <f t="shared" si="4"/>
        <v/>
      </c>
      <c r="M38" s="74" t="str">
        <f t="shared" si="5"/>
        <v/>
      </c>
      <c r="N38" s="109" t="str">
        <f t="shared" si="6"/>
        <v/>
      </c>
    </row>
    <row r="39" spans="1:14" x14ac:dyDescent="0.35">
      <c r="A39" t="s">
        <v>338</v>
      </c>
      <c r="B39" t="s">
        <v>192</v>
      </c>
      <c r="C39" t="s">
        <v>192</v>
      </c>
      <c r="D39" t="s">
        <v>192</v>
      </c>
      <c r="E39" t="s">
        <v>192</v>
      </c>
      <c r="F39" t="s">
        <v>192</v>
      </c>
      <c r="G39" s="20"/>
      <c r="I39" s="95" t="str">
        <f t="shared" si="1"/>
        <v xml:space="preserve">                Goodwill</v>
      </c>
      <c r="J39" s="74" t="str">
        <f t="shared" si="2"/>
        <v/>
      </c>
      <c r="K39" s="74" t="str">
        <f t="shared" si="3"/>
        <v/>
      </c>
      <c r="L39" s="74" t="str">
        <f t="shared" si="4"/>
        <v/>
      </c>
      <c r="M39" s="74" t="str">
        <f t="shared" si="5"/>
        <v/>
      </c>
      <c r="N39" s="109" t="str">
        <f t="shared" si="6"/>
        <v/>
      </c>
    </row>
    <row r="40" spans="1:14" x14ac:dyDescent="0.35">
      <c r="A40" t="s">
        <v>339</v>
      </c>
      <c r="B40" t="s">
        <v>192</v>
      </c>
      <c r="C40" t="s">
        <v>192</v>
      </c>
      <c r="D40" t="s">
        <v>192</v>
      </c>
      <c r="E40" t="s">
        <v>192</v>
      </c>
      <c r="F40" t="s">
        <v>192</v>
      </c>
      <c r="I40" s="95" t="str">
        <f t="shared" si="1"/>
        <v xml:space="preserve">                Intangibles other than Goodwill</v>
      </c>
      <c r="J40" s="74" t="str">
        <f t="shared" si="2"/>
        <v/>
      </c>
      <c r="K40" s="74" t="str">
        <f t="shared" si="3"/>
        <v/>
      </c>
      <c r="L40" s="74" t="str">
        <f t="shared" si="4"/>
        <v/>
      </c>
      <c r="M40" s="74" t="str">
        <f t="shared" si="5"/>
        <v/>
      </c>
      <c r="N40" s="109" t="str">
        <f t="shared" si="6"/>
        <v/>
      </c>
    </row>
    <row r="41" spans="1:14" x14ac:dyDescent="0.35">
      <c r="A41" t="s">
        <v>340</v>
      </c>
      <c r="B41" t="s">
        <v>192</v>
      </c>
      <c r="C41" t="s">
        <v>192</v>
      </c>
      <c r="D41" t="s">
        <v>192</v>
      </c>
      <c r="E41" t="s">
        <v>192</v>
      </c>
      <c r="F41" t="s">
        <v>192</v>
      </c>
      <c r="G41" s="20"/>
      <c r="I41" s="95" t="str">
        <f t="shared" si="1"/>
        <v xml:space="preserve">                    Trademarks and Patents</v>
      </c>
      <c r="J41" s="74" t="str">
        <f t="shared" si="2"/>
        <v/>
      </c>
      <c r="K41" s="74" t="str">
        <f t="shared" si="3"/>
        <v/>
      </c>
      <c r="L41" s="74" t="str">
        <f t="shared" si="4"/>
        <v/>
      </c>
      <c r="M41" s="74" t="str">
        <f t="shared" si="5"/>
        <v/>
      </c>
      <c r="N41" s="109" t="str">
        <f t="shared" si="6"/>
        <v/>
      </c>
    </row>
    <row r="42" spans="1:14" x14ac:dyDescent="0.35">
      <c r="A42" t="s">
        <v>341</v>
      </c>
      <c r="B42" t="s">
        <v>192</v>
      </c>
      <c r="C42" t="s">
        <v>192</v>
      </c>
      <c r="D42" t="s">
        <v>192</v>
      </c>
      <c r="E42" t="s">
        <v>192</v>
      </c>
      <c r="F42" t="s">
        <v>192</v>
      </c>
      <c r="G42" s="20"/>
      <c r="I42" s="95" t="str">
        <f t="shared" si="1"/>
        <v xml:space="preserve">                    Other Intangible Assets</v>
      </c>
      <c r="J42" s="74" t="str">
        <f t="shared" si="2"/>
        <v/>
      </c>
      <c r="K42" s="74" t="str">
        <f t="shared" si="3"/>
        <v/>
      </c>
      <c r="L42" s="74" t="str">
        <f t="shared" si="4"/>
        <v/>
      </c>
      <c r="M42" s="74" t="str">
        <f t="shared" si="5"/>
        <v/>
      </c>
      <c r="N42" s="109" t="str">
        <f t="shared" si="6"/>
        <v/>
      </c>
    </row>
    <row r="43" spans="1:14" x14ac:dyDescent="0.35">
      <c r="A43" t="s">
        <v>342</v>
      </c>
      <c r="B43" t="s">
        <v>192</v>
      </c>
      <c r="C43" t="s">
        <v>192</v>
      </c>
      <c r="D43" t="s">
        <v>192</v>
      </c>
      <c r="E43" t="s">
        <v>192</v>
      </c>
      <c r="F43" t="s">
        <v>192</v>
      </c>
      <c r="G43" s="20"/>
      <c r="I43" s="95" t="str">
        <f t="shared" si="1"/>
        <v xml:space="preserve">            Accumulated Amortization and Impairment</v>
      </c>
      <c r="J43" s="74" t="str">
        <f t="shared" si="2"/>
        <v/>
      </c>
      <c r="K43" s="74" t="str">
        <f t="shared" si="3"/>
        <v/>
      </c>
      <c r="L43" s="74" t="str">
        <f t="shared" si="4"/>
        <v/>
      </c>
      <c r="M43" s="74" t="str">
        <f t="shared" si="5"/>
        <v/>
      </c>
      <c r="N43" s="109" t="str">
        <f t="shared" si="6"/>
        <v/>
      </c>
    </row>
    <row r="44" spans="1:14" x14ac:dyDescent="0.35">
      <c r="A44" t="s">
        <v>343</v>
      </c>
      <c r="B44" t="s">
        <v>192</v>
      </c>
      <c r="C44" t="s">
        <v>192</v>
      </c>
      <c r="D44" t="s">
        <v>192</v>
      </c>
      <c r="E44" t="s">
        <v>192</v>
      </c>
      <c r="F44" t="s">
        <v>192</v>
      </c>
      <c r="I44" s="95" t="str">
        <f t="shared" si="1"/>
        <v xml:space="preserve">                Accumulated Amortization of Intangible Assets</v>
      </c>
      <c r="J44" s="74" t="str">
        <f t="shared" si="2"/>
        <v/>
      </c>
      <c r="K44" s="74" t="str">
        <f t="shared" si="3"/>
        <v/>
      </c>
      <c r="L44" s="74" t="str">
        <f t="shared" si="4"/>
        <v/>
      </c>
      <c r="M44" s="74" t="str">
        <f t="shared" si="5"/>
        <v/>
      </c>
      <c r="N44" s="109" t="str">
        <f t="shared" si="6"/>
        <v/>
      </c>
    </row>
    <row r="45" spans="1:14" x14ac:dyDescent="0.35">
      <c r="A45" t="s">
        <v>344</v>
      </c>
      <c r="B45" t="s">
        <v>192</v>
      </c>
      <c r="C45" t="s">
        <v>192</v>
      </c>
      <c r="D45" t="s">
        <v>192</v>
      </c>
      <c r="E45" t="s">
        <v>192</v>
      </c>
      <c r="F45" t="s">
        <v>192</v>
      </c>
      <c r="G45" s="20"/>
      <c r="I45" s="95" t="str">
        <f t="shared" si="1"/>
        <v xml:space="preserve">                    Accumulated Amortization of Intangibles other than Goodwill</v>
      </c>
      <c r="J45" s="74" t="str">
        <f t="shared" si="2"/>
        <v/>
      </c>
      <c r="K45" s="74" t="str">
        <f t="shared" si="3"/>
        <v/>
      </c>
      <c r="L45" s="74" t="str">
        <f t="shared" si="4"/>
        <v/>
      </c>
      <c r="M45" s="74" t="str">
        <f t="shared" si="5"/>
        <v/>
      </c>
      <c r="N45" s="109" t="str">
        <f t="shared" si="6"/>
        <v/>
      </c>
    </row>
    <row r="46" spans="1:14" ht="15" thickBot="1" x14ac:dyDescent="0.4">
      <c r="A46" t="s">
        <v>345</v>
      </c>
      <c r="B46" t="s">
        <v>192</v>
      </c>
      <c r="C46" t="s">
        <v>192</v>
      </c>
      <c r="D46" t="s">
        <v>192</v>
      </c>
      <c r="E46" t="s">
        <v>192</v>
      </c>
      <c r="F46" t="s">
        <v>192</v>
      </c>
      <c r="G46" s="20"/>
      <c r="I46" s="105" t="str">
        <f t="shared" si="1"/>
        <v xml:space="preserve">                        Accumulated Amortization of Other Intangible Assets</v>
      </c>
      <c r="J46" s="107" t="str">
        <f t="shared" si="2"/>
        <v/>
      </c>
      <c r="K46" s="107" t="str">
        <f t="shared" si="3"/>
        <v/>
      </c>
      <c r="L46" s="107" t="str">
        <f t="shared" si="4"/>
        <v/>
      </c>
      <c r="M46" s="107" t="str">
        <f t="shared" si="5"/>
        <v/>
      </c>
      <c r="N46" s="108" t="str">
        <f t="shared" si="6"/>
        <v/>
      </c>
    </row>
    <row r="47" spans="1:14" ht="15" thickBot="1" x14ac:dyDescent="0.4">
      <c r="A47" t="s">
        <v>112</v>
      </c>
      <c r="B47" s="20">
        <v>287912000000</v>
      </c>
      <c r="C47" s="20">
        <v>302083000000</v>
      </c>
      <c r="D47" s="20">
        <v>290437000000</v>
      </c>
      <c r="E47" s="20">
        <v>308030000000</v>
      </c>
      <c r="F47" s="20">
        <v>285508000000</v>
      </c>
      <c r="G47" s="20"/>
      <c r="I47" s="132" t="str">
        <f t="shared" si="1"/>
        <v>Total Liabilities</v>
      </c>
      <c r="J47" s="133">
        <f t="shared" si="2"/>
        <v>287912000000</v>
      </c>
      <c r="K47" s="133">
        <f t="shared" si="3"/>
        <v>302083000000</v>
      </c>
      <c r="L47" s="133">
        <f t="shared" si="4"/>
        <v>290437000000</v>
      </c>
      <c r="M47" s="133">
        <f t="shared" si="5"/>
        <v>308030000000</v>
      </c>
      <c r="N47" s="134">
        <f t="shared" si="6"/>
        <v>285508000000</v>
      </c>
    </row>
    <row r="48" spans="1:14" x14ac:dyDescent="0.35">
      <c r="A48" t="s">
        <v>346</v>
      </c>
      <c r="B48" s="20">
        <v>125481000000</v>
      </c>
      <c r="C48" s="20">
        <v>153982000000</v>
      </c>
      <c r="D48" s="20">
        <v>145308000000</v>
      </c>
      <c r="E48" s="20">
        <v>176392000000</v>
      </c>
      <c r="F48" s="20">
        <v>165631000000</v>
      </c>
      <c r="G48" s="20"/>
      <c r="I48" s="92" t="str">
        <f t="shared" si="1"/>
        <v xml:space="preserve">    Total Current Liabilities</v>
      </c>
      <c r="J48" s="93">
        <f t="shared" si="2"/>
        <v>125481000000</v>
      </c>
      <c r="K48" s="93">
        <f t="shared" si="3"/>
        <v>153982000000</v>
      </c>
      <c r="L48" s="93">
        <f t="shared" si="4"/>
        <v>145308000000</v>
      </c>
      <c r="M48" s="93">
        <f t="shared" si="5"/>
        <v>176392000000</v>
      </c>
      <c r="N48" s="94">
        <f t="shared" si="6"/>
        <v>165631000000</v>
      </c>
    </row>
    <row r="49" spans="1:14" x14ac:dyDescent="0.35">
      <c r="A49" t="s">
        <v>347</v>
      </c>
      <c r="B49" s="20">
        <v>54763000000</v>
      </c>
      <c r="C49" s="20">
        <v>64115000000</v>
      </c>
      <c r="D49" s="20">
        <v>71430000000</v>
      </c>
      <c r="E49" s="20">
        <v>95561000000</v>
      </c>
      <c r="F49" s="20">
        <v>91795000000</v>
      </c>
      <c r="G49" s="20"/>
      <c r="I49" s="95" t="str">
        <f t="shared" si="1"/>
        <v xml:space="preserve">        Payables and Accrued Expenses, Current</v>
      </c>
      <c r="J49" s="63">
        <f t="shared" si="2"/>
        <v>54763000000</v>
      </c>
      <c r="K49" s="63">
        <f t="shared" si="3"/>
        <v>64115000000</v>
      </c>
      <c r="L49" s="63">
        <f t="shared" si="4"/>
        <v>71430000000</v>
      </c>
      <c r="M49" s="63">
        <f t="shared" si="5"/>
        <v>95561000000</v>
      </c>
      <c r="N49" s="96">
        <f t="shared" si="6"/>
        <v>91795000000</v>
      </c>
    </row>
    <row r="50" spans="1:14" x14ac:dyDescent="0.35">
      <c r="A50" t="s">
        <v>348</v>
      </c>
      <c r="B50" s="20">
        <v>54763000000</v>
      </c>
      <c r="C50" s="20">
        <v>64115000000</v>
      </c>
      <c r="D50" s="20">
        <v>71430000000</v>
      </c>
      <c r="E50" s="20">
        <v>95561000000</v>
      </c>
      <c r="F50" s="20">
        <v>82876000000</v>
      </c>
      <c r="I50" s="95" t="str">
        <f t="shared" si="1"/>
        <v xml:space="preserve">            Trade and Other Payables, Current</v>
      </c>
      <c r="J50" s="63">
        <f t="shared" si="2"/>
        <v>54763000000</v>
      </c>
      <c r="K50" s="63">
        <f t="shared" si="3"/>
        <v>64115000000</v>
      </c>
      <c r="L50" s="63">
        <f t="shared" si="4"/>
        <v>71430000000</v>
      </c>
      <c r="M50" s="63">
        <f t="shared" si="5"/>
        <v>95561000000</v>
      </c>
      <c r="N50" s="96">
        <f t="shared" si="6"/>
        <v>82876000000</v>
      </c>
    </row>
    <row r="51" spans="1:14" x14ac:dyDescent="0.35">
      <c r="A51" t="s">
        <v>349</v>
      </c>
      <c r="B51" s="20">
        <v>54763000000</v>
      </c>
      <c r="C51" s="20">
        <v>64115000000</v>
      </c>
      <c r="D51" s="20">
        <v>62611000000</v>
      </c>
      <c r="E51" s="20">
        <v>68960000000</v>
      </c>
      <c r="F51" s="20">
        <v>69860000000</v>
      </c>
      <c r="G51" s="20"/>
      <c r="I51" s="95" t="str">
        <f t="shared" si="1"/>
        <v xml:space="preserve">                Trade/Accounts Payable, Current</v>
      </c>
      <c r="J51" s="69">
        <f t="shared" si="2"/>
        <v>54763000000</v>
      </c>
      <c r="K51" s="69">
        <f t="shared" si="3"/>
        <v>64115000000</v>
      </c>
      <c r="L51" s="69">
        <f t="shared" si="4"/>
        <v>62611000000</v>
      </c>
      <c r="M51" s="69">
        <f t="shared" si="5"/>
        <v>68960000000</v>
      </c>
      <c r="N51" s="99">
        <f t="shared" si="6"/>
        <v>69860000000</v>
      </c>
    </row>
    <row r="52" spans="1:14" x14ac:dyDescent="0.35">
      <c r="A52" t="s">
        <v>350</v>
      </c>
      <c r="B52" t="s">
        <v>192</v>
      </c>
      <c r="C52" t="s">
        <v>192</v>
      </c>
      <c r="D52" s="20">
        <v>8819000000</v>
      </c>
      <c r="E52" s="20">
        <v>26601000000</v>
      </c>
      <c r="F52" s="20">
        <v>13016000000</v>
      </c>
      <c r="G52" s="20"/>
      <c r="I52" s="95" t="str">
        <f t="shared" si="1"/>
        <v xml:space="preserve">                Taxes Payable, Current</v>
      </c>
      <c r="J52" s="76" t="str">
        <f t="shared" si="2"/>
        <v/>
      </c>
      <c r="K52" s="76" t="str">
        <f t="shared" si="3"/>
        <v/>
      </c>
      <c r="L52" s="69">
        <f t="shared" si="4"/>
        <v>8819000000</v>
      </c>
      <c r="M52" s="69">
        <f t="shared" si="5"/>
        <v>26601000000</v>
      </c>
      <c r="N52" s="99">
        <f t="shared" si="6"/>
        <v>13016000000</v>
      </c>
    </row>
    <row r="53" spans="1:14" x14ac:dyDescent="0.35">
      <c r="A53" t="s">
        <v>351</v>
      </c>
      <c r="B53" t="s">
        <v>192</v>
      </c>
      <c r="C53" t="s">
        <v>192</v>
      </c>
      <c r="D53" t="s">
        <v>192</v>
      </c>
      <c r="E53" t="s">
        <v>192</v>
      </c>
      <c r="F53" s="20">
        <v>8919000000</v>
      </c>
      <c r="G53" s="20"/>
      <c r="I53" s="95" t="str">
        <f t="shared" si="1"/>
        <v xml:space="preserve">            Accrued Expenses, Current</v>
      </c>
      <c r="J53" s="76" t="str">
        <f t="shared" si="2"/>
        <v/>
      </c>
      <c r="K53" s="76" t="str">
        <f t="shared" si="3"/>
        <v/>
      </c>
      <c r="L53" s="76" t="str">
        <f t="shared" si="4"/>
        <v/>
      </c>
      <c r="M53" s="76" t="str">
        <f t="shared" si="5"/>
        <v/>
      </c>
      <c r="N53" s="99">
        <f t="shared" si="6"/>
        <v>8919000000</v>
      </c>
    </row>
    <row r="54" spans="1:14" x14ac:dyDescent="0.35">
      <c r="A54" t="s">
        <v>352</v>
      </c>
      <c r="B54" s="20">
        <v>17141000000</v>
      </c>
      <c r="C54" s="20">
        <v>22773000000</v>
      </c>
      <c r="D54" s="20">
        <v>17382000000</v>
      </c>
      <c r="E54" s="20">
        <v>20879000000</v>
      </c>
      <c r="F54" s="20">
        <v>20329000000</v>
      </c>
      <c r="I54" s="95" t="str">
        <f t="shared" si="1"/>
        <v xml:space="preserve">        Financial Liabilities, Current</v>
      </c>
      <c r="J54" s="63">
        <f t="shared" si="2"/>
        <v>17141000000</v>
      </c>
      <c r="K54" s="63">
        <f t="shared" si="3"/>
        <v>22773000000</v>
      </c>
      <c r="L54" s="63">
        <f t="shared" si="4"/>
        <v>17382000000</v>
      </c>
      <c r="M54" s="63">
        <f t="shared" si="5"/>
        <v>20879000000</v>
      </c>
      <c r="N54" s="96">
        <f t="shared" si="6"/>
        <v>20329000000</v>
      </c>
    </row>
    <row r="55" spans="1:14" x14ac:dyDescent="0.35">
      <c r="A55" t="s">
        <v>353</v>
      </c>
      <c r="B55" s="20">
        <v>17141000000</v>
      </c>
      <c r="C55" s="20">
        <v>22773000000</v>
      </c>
      <c r="D55" s="20">
        <v>17382000000</v>
      </c>
      <c r="E55" s="20">
        <v>20879000000</v>
      </c>
      <c r="F55" s="20">
        <v>20329000000</v>
      </c>
      <c r="G55" s="20"/>
      <c r="I55" s="95" t="str">
        <f t="shared" si="1"/>
        <v xml:space="preserve">            Current Debt and Capital Lease Obligation</v>
      </c>
      <c r="J55" s="63">
        <f t="shared" si="2"/>
        <v>17141000000</v>
      </c>
      <c r="K55" s="63">
        <f t="shared" si="3"/>
        <v>22773000000</v>
      </c>
      <c r="L55" s="63">
        <f t="shared" si="4"/>
        <v>17382000000</v>
      </c>
      <c r="M55" s="63">
        <f t="shared" si="5"/>
        <v>20879000000</v>
      </c>
      <c r="N55" s="96">
        <f t="shared" si="6"/>
        <v>20329000000</v>
      </c>
    </row>
    <row r="56" spans="1:14" x14ac:dyDescent="0.35">
      <c r="A56" t="s">
        <v>354</v>
      </c>
      <c r="B56" s="20">
        <v>6000000000</v>
      </c>
      <c r="C56" s="20">
        <v>9982000000</v>
      </c>
      <c r="D56" s="20">
        <v>5985000000</v>
      </c>
      <c r="E56" s="20">
        <v>9967000000</v>
      </c>
      <c r="F56" s="20">
        <v>7979000000</v>
      </c>
      <c r="G56" s="20"/>
      <c r="I56" s="95" t="str">
        <f t="shared" si="1"/>
        <v xml:space="preserve">                Current Debt</v>
      </c>
      <c r="J56" s="69">
        <f t="shared" si="2"/>
        <v>6000000000</v>
      </c>
      <c r="K56" s="69">
        <f t="shared" si="3"/>
        <v>9982000000</v>
      </c>
      <c r="L56" s="69">
        <f t="shared" si="4"/>
        <v>5985000000</v>
      </c>
      <c r="M56" s="69">
        <f t="shared" si="5"/>
        <v>9967000000</v>
      </c>
      <c r="N56" s="99">
        <f t="shared" si="6"/>
        <v>7979000000</v>
      </c>
    </row>
    <row r="57" spans="1:14" x14ac:dyDescent="0.35">
      <c r="A57" t="s">
        <v>355</v>
      </c>
      <c r="B57" s="20">
        <v>6000000000</v>
      </c>
      <c r="C57" s="20">
        <v>9982000000</v>
      </c>
      <c r="D57" s="20">
        <v>5985000000</v>
      </c>
      <c r="E57" s="20">
        <v>9967000000</v>
      </c>
      <c r="F57" s="20">
        <v>7979000000</v>
      </c>
      <c r="I57" s="95" t="str">
        <f t="shared" si="1"/>
        <v xml:space="preserve">                    Commercial Paper</v>
      </c>
      <c r="J57" s="63">
        <f t="shared" si="2"/>
        <v>6000000000</v>
      </c>
      <c r="K57" s="63">
        <f t="shared" si="3"/>
        <v>9982000000</v>
      </c>
      <c r="L57" s="63">
        <f t="shared" si="4"/>
        <v>5985000000</v>
      </c>
      <c r="M57" s="63">
        <f t="shared" si="5"/>
        <v>9967000000</v>
      </c>
      <c r="N57" s="96">
        <f t="shared" si="6"/>
        <v>7979000000</v>
      </c>
    </row>
    <row r="58" spans="1:14" x14ac:dyDescent="0.35">
      <c r="A58" t="s">
        <v>356</v>
      </c>
      <c r="B58" s="20">
        <v>11141000000</v>
      </c>
      <c r="C58" s="20">
        <v>12791000000</v>
      </c>
      <c r="D58" s="20">
        <v>11397000000</v>
      </c>
      <c r="E58" s="20">
        <v>10912000000</v>
      </c>
      <c r="F58" s="20">
        <v>12350000000</v>
      </c>
      <c r="I58" s="95" t="str">
        <f t="shared" si="1"/>
        <v xml:space="preserve">                Current Portion of Long Term Debt and Capital Lease</v>
      </c>
      <c r="J58" s="69">
        <f t="shared" si="2"/>
        <v>11141000000</v>
      </c>
      <c r="K58" s="69">
        <f t="shared" si="3"/>
        <v>12791000000</v>
      </c>
      <c r="L58" s="69">
        <f t="shared" si="4"/>
        <v>11397000000</v>
      </c>
      <c r="M58" s="69">
        <f t="shared" si="5"/>
        <v>10912000000</v>
      </c>
      <c r="N58" s="99">
        <f t="shared" si="6"/>
        <v>12350000000</v>
      </c>
    </row>
    <row r="59" spans="1:14" x14ac:dyDescent="0.35">
      <c r="A59" t="s">
        <v>357</v>
      </c>
      <c r="B59" s="20">
        <v>9613000000</v>
      </c>
      <c r="C59" s="20">
        <v>11128000000</v>
      </c>
      <c r="D59" s="20">
        <v>9822000000</v>
      </c>
      <c r="E59" s="20">
        <v>10912000000</v>
      </c>
      <c r="F59" s="20">
        <v>12350000000</v>
      </c>
      <c r="I59" s="95" t="str">
        <f t="shared" si="1"/>
        <v xml:space="preserve">                    Current Portion of Long Term Debt</v>
      </c>
      <c r="J59" s="63">
        <f t="shared" si="2"/>
        <v>9613000000</v>
      </c>
      <c r="K59" s="63">
        <f t="shared" si="3"/>
        <v>11128000000</v>
      </c>
      <c r="L59" s="63">
        <f t="shared" si="4"/>
        <v>9822000000</v>
      </c>
      <c r="M59" s="63">
        <f t="shared" si="5"/>
        <v>10912000000</v>
      </c>
      <c r="N59" s="96">
        <f t="shared" si="6"/>
        <v>12350000000</v>
      </c>
    </row>
    <row r="60" spans="1:14" x14ac:dyDescent="0.35">
      <c r="A60" t="s">
        <v>358</v>
      </c>
      <c r="B60" s="20">
        <v>9613000000</v>
      </c>
      <c r="C60" s="20">
        <v>11128000000</v>
      </c>
      <c r="D60" s="20">
        <v>9822000000</v>
      </c>
      <c r="E60" s="20">
        <v>10912000000</v>
      </c>
      <c r="F60" s="20">
        <v>12350000000</v>
      </c>
      <c r="I60" s="95" t="str">
        <f t="shared" si="1"/>
        <v xml:space="preserve">                        Other Current Portion of LT Debt</v>
      </c>
      <c r="J60" s="63">
        <f t="shared" si="2"/>
        <v>9613000000</v>
      </c>
      <c r="K60" s="63">
        <f t="shared" si="3"/>
        <v>11128000000</v>
      </c>
      <c r="L60" s="63">
        <f t="shared" si="4"/>
        <v>9822000000</v>
      </c>
      <c r="M60" s="63">
        <f t="shared" si="5"/>
        <v>10912000000</v>
      </c>
      <c r="N60" s="96">
        <f t="shared" si="6"/>
        <v>12350000000</v>
      </c>
    </row>
    <row r="61" spans="1:14" x14ac:dyDescent="0.35">
      <c r="A61" t="s">
        <v>359</v>
      </c>
      <c r="B61" t="s">
        <v>192</v>
      </c>
      <c r="C61" t="s">
        <v>192</v>
      </c>
      <c r="D61" t="s">
        <v>192</v>
      </c>
      <c r="E61" t="s">
        <v>192</v>
      </c>
      <c r="F61" t="s">
        <v>192</v>
      </c>
      <c r="I61" s="95" t="str">
        <f t="shared" si="1"/>
        <v xml:space="preserve">                        Bank/Institutional Loans, Current Portion of LT Debt</v>
      </c>
      <c r="J61" s="74" t="str">
        <f t="shared" si="2"/>
        <v/>
      </c>
      <c r="K61" s="74" t="str">
        <f t="shared" si="3"/>
        <v/>
      </c>
      <c r="L61" s="74" t="str">
        <f t="shared" si="4"/>
        <v/>
      </c>
      <c r="M61" s="74" t="str">
        <f t="shared" si="5"/>
        <v/>
      </c>
      <c r="N61" s="109" t="str">
        <f t="shared" si="6"/>
        <v/>
      </c>
    </row>
    <row r="62" spans="1:14" x14ac:dyDescent="0.35">
      <c r="A62" t="s">
        <v>360</v>
      </c>
      <c r="B62" s="20">
        <v>1528000000</v>
      </c>
      <c r="C62" s="20">
        <v>1663000000</v>
      </c>
      <c r="D62" s="20">
        <v>1575000000</v>
      </c>
      <c r="E62" t="s">
        <v>192</v>
      </c>
      <c r="F62" t="s">
        <v>192</v>
      </c>
      <c r="I62" s="95" t="str">
        <f t="shared" si="1"/>
        <v xml:space="preserve">                    Capital Lease Obligations, Current</v>
      </c>
      <c r="J62" s="63">
        <f t="shared" si="2"/>
        <v>1528000000</v>
      </c>
      <c r="K62" s="63">
        <f t="shared" si="3"/>
        <v>1663000000</v>
      </c>
      <c r="L62" s="63">
        <f t="shared" si="4"/>
        <v>1575000000</v>
      </c>
      <c r="M62" s="74" t="str">
        <f t="shared" si="5"/>
        <v/>
      </c>
      <c r="N62" s="109" t="str">
        <f t="shared" si="6"/>
        <v/>
      </c>
    </row>
    <row r="63" spans="1:14" x14ac:dyDescent="0.35">
      <c r="A63" t="s">
        <v>361</v>
      </c>
      <c r="B63" s="20">
        <v>7612000000</v>
      </c>
      <c r="C63" s="20">
        <v>7912000000</v>
      </c>
      <c r="D63" s="20">
        <v>8061000000</v>
      </c>
      <c r="E63" s="20">
        <v>8249000000</v>
      </c>
      <c r="F63" s="20">
        <v>9055000000</v>
      </c>
      <c r="I63" s="95" t="str">
        <f t="shared" si="1"/>
        <v xml:space="preserve">        Deferred Liabilities, Current</v>
      </c>
      <c r="J63" s="69">
        <f t="shared" si="2"/>
        <v>7612000000</v>
      </c>
      <c r="K63" s="69">
        <f t="shared" si="3"/>
        <v>7912000000</v>
      </c>
      <c r="L63" s="69">
        <f t="shared" si="4"/>
        <v>8061000000</v>
      </c>
      <c r="M63" s="69">
        <f t="shared" si="5"/>
        <v>8249000000</v>
      </c>
      <c r="N63" s="99">
        <f t="shared" si="6"/>
        <v>9055000000</v>
      </c>
    </row>
    <row r="64" spans="1:14" x14ac:dyDescent="0.35">
      <c r="A64" t="s">
        <v>362</v>
      </c>
      <c r="B64" s="20">
        <v>7612000000</v>
      </c>
      <c r="C64" s="20">
        <v>7912000000</v>
      </c>
      <c r="D64" s="20">
        <v>8061000000</v>
      </c>
      <c r="E64" s="20">
        <v>8249000000</v>
      </c>
      <c r="F64" s="20">
        <v>9055000000</v>
      </c>
      <c r="I64" s="95" t="str">
        <f t="shared" si="1"/>
        <v xml:space="preserve">            Deferred Income/Customer Advances/Billings in Excess of Cost, Current</v>
      </c>
      <c r="J64" s="63">
        <f t="shared" si="2"/>
        <v>7612000000</v>
      </c>
      <c r="K64" s="63">
        <f t="shared" si="3"/>
        <v>7912000000</v>
      </c>
      <c r="L64" s="63">
        <f t="shared" si="4"/>
        <v>8061000000</v>
      </c>
      <c r="M64" s="63">
        <f t="shared" si="5"/>
        <v>8249000000</v>
      </c>
      <c r="N64" s="96">
        <f t="shared" si="6"/>
        <v>9055000000</v>
      </c>
    </row>
    <row r="65" spans="1:14" ht="15" thickBot="1" x14ac:dyDescent="0.4">
      <c r="A65" t="s">
        <v>363</v>
      </c>
      <c r="B65" s="20">
        <v>45965000000</v>
      </c>
      <c r="C65" s="20">
        <v>59182000000</v>
      </c>
      <c r="D65" s="20">
        <v>48435000000</v>
      </c>
      <c r="E65" s="20">
        <v>51703000000</v>
      </c>
      <c r="F65" s="20">
        <v>44452000000</v>
      </c>
      <c r="I65" s="105" t="str">
        <f t="shared" si="1"/>
        <v xml:space="preserve">        Other Current Liabilities</v>
      </c>
      <c r="J65" s="112">
        <f t="shared" si="2"/>
        <v>45965000000</v>
      </c>
      <c r="K65" s="112">
        <f t="shared" si="3"/>
        <v>59182000000</v>
      </c>
      <c r="L65" s="112">
        <f t="shared" si="4"/>
        <v>48435000000</v>
      </c>
      <c r="M65" s="112">
        <f t="shared" si="5"/>
        <v>51703000000</v>
      </c>
      <c r="N65" s="136">
        <f t="shared" si="6"/>
        <v>44452000000</v>
      </c>
    </row>
    <row r="66" spans="1:14" x14ac:dyDescent="0.35">
      <c r="A66" t="s">
        <v>364</v>
      </c>
      <c r="B66" s="20">
        <v>162431000000</v>
      </c>
      <c r="C66" s="20">
        <v>148101000000</v>
      </c>
      <c r="D66" s="20">
        <v>145129000000</v>
      </c>
      <c r="E66" s="20">
        <v>131638000000</v>
      </c>
      <c r="F66" s="20">
        <v>119877000000</v>
      </c>
      <c r="I66" s="92" t="str">
        <f t="shared" si="1"/>
        <v xml:space="preserve">    Total Non-Current Liabilities</v>
      </c>
      <c r="J66" s="93">
        <f t="shared" si="2"/>
        <v>162431000000</v>
      </c>
      <c r="K66" s="93">
        <f t="shared" si="3"/>
        <v>148101000000</v>
      </c>
      <c r="L66" s="93">
        <f t="shared" si="4"/>
        <v>145129000000</v>
      </c>
      <c r="M66" s="93">
        <f t="shared" si="5"/>
        <v>131638000000</v>
      </c>
      <c r="N66" s="94">
        <f t="shared" si="6"/>
        <v>119877000000</v>
      </c>
    </row>
    <row r="67" spans="1:14" x14ac:dyDescent="0.35">
      <c r="A67" t="s">
        <v>365</v>
      </c>
      <c r="B67" s="20">
        <v>119381000000</v>
      </c>
      <c r="C67" s="20">
        <v>109707000000</v>
      </c>
      <c r="D67" s="20">
        <v>106548000000</v>
      </c>
      <c r="E67" s="20">
        <v>85750000000</v>
      </c>
      <c r="F67" s="20">
        <v>78328000000</v>
      </c>
      <c r="I67" s="95" t="str">
        <f t="shared" si="1"/>
        <v xml:space="preserve">        Financial Liabilities, Non-Current</v>
      </c>
      <c r="J67" s="69">
        <f t="shared" si="2"/>
        <v>119381000000</v>
      </c>
      <c r="K67" s="69">
        <f t="shared" si="3"/>
        <v>109707000000</v>
      </c>
      <c r="L67" s="69">
        <f t="shared" si="4"/>
        <v>106548000000</v>
      </c>
      <c r="M67" s="69">
        <f t="shared" si="5"/>
        <v>85750000000</v>
      </c>
      <c r="N67" s="99">
        <f t="shared" si="6"/>
        <v>78328000000</v>
      </c>
    </row>
    <row r="68" spans="1:14" x14ac:dyDescent="0.35">
      <c r="A68" t="s">
        <v>366</v>
      </c>
      <c r="B68" s="20">
        <v>119381000000</v>
      </c>
      <c r="C68" s="20">
        <v>109707000000</v>
      </c>
      <c r="D68" s="20">
        <v>106548000000</v>
      </c>
      <c r="E68" s="20">
        <v>85750000000</v>
      </c>
      <c r="F68" s="20">
        <v>78328000000</v>
      </c>
      <c r="I68" s="95" t="str">
        <f t="shared" ref="I68:I131" si="7">A68</f>
        <v xml:space="preserve">            Long Term Debt and Capital Lease Obligation</v>
      </c>
      <c r="J68" s="63">
        <f t="shared" si="2"/>
        <v>119381000000</v>
      </c>
      <c r="K68" s="63">
        <f t="shared" si="3"/>
        <v>109707000000</v>
      </c>
      <c r="L68" s="63">
        <f t="shared" si="4"/>
        <v>106548000000</v>
      </c>
      <c r="M68" s="63">
        <f t="shared" si="5"/>
        <v>85750000000</v>
      </c>
      <c r="N68" s="96">
        <f t="shared" si="6"/>
        <v>78328000000</v>
      </c>
    </row>
    <row r="69" spans="1:14" x14ac:dyDescent="0.35">
      <c r="A69" t="s">
        <v>367</v>
      </c>
      <c r="B69" s="20">
        <v>109106000000</v>
      </c>
      <c r="C69" s="20">
        <v>98959000000</v>
      </c>
      <c r="D69" s="20">
        <v>95281000000</v>
      </c>
      <c r="E69" s="20">
        <v>85750000000</v>
      </c>
      <c r="F69" s="20">
        <v>78328000000</v>
      </c>
      <c r="I69" s="95" t="str">
        <f t="shared" si="7"/>
        <v xml:space="preserve">                Long Term Debt</v>
      </c>
      <c r="J69" s="63">
        <f t="shared" si="2"/>
        <v>109106000000</v>
      </c>
      <c r="K69" s="63">
        <f t="shared" si="3"/>
        <v>98959000000</v>
      </c>
      <c r="L69" s="63">
        <f t="shared" si="4"/>
        <v>95281000000</v>
      </c>
      <c r="M69" s="63">
        <f t="shared" si="5"/>
        <v>85750000000</v>
      </c>
      <c r="N69" s="96">
        <f t="shared" si="6"/>
        <v>78328000000</v>
      </c>
    </row>
    <row r="70" spans="1:14" x14ac:dyDescent="0.35">
      <c r="A70" t="s">
        <v>368</v>
      </c>
      <c r="B70" s="20">
        <v>109106000000</v>
      </c>
      <c r="C70" s="20">
        <v>98959000000</v>
      </c>
      <c r="D70" s="20">
        <v>95281000000</v>
      </c>
      <c r="E70" s="20">
        <v>85750000000</v>
      </c>
      <c r="F70" s="20">
        <v>78328000000</v>
      </c>
      <c r="I70" s="95" t="str">
        <f t="shared" si="7"/>
        <v xml:space="preserve">                    Notes Payables, Non-Current</v>
      </c>
      <c r="J70" s="63">
        <f t="shared" si="2"/>
        <v>109106000000</v>
      </c>
      <c r="K70" s="63">
        <f t="shared" si="3"/>
        <v>98959000000</v>
      </c>
      <c r="L70" s="63">
        <f t="shared" si="4"/>
        <v>95281000000</v>
      </c>
      <c r="M70" s="63">
        <f t="shared" si="5"/>
        <v>85750000000</v>
      </c>
      <c r="N70" s="96">
        <f t="shared" si="6"/>
        <v>78328000000</v>
      </c>
    </row>
    <row r="71" spans="1:14" x14ac:dyDescent="0.35">
      <c r="A71" t="s">
        <v>369</v>
      </c>
      <c r="B71" t="s">
        <v>192</v>
      </c>
      <c r="C71" t="s">
        <v>192</v>
      </c>
      <c r="D71" t="s">
        <v>192</v>
      </c>
      <c r="E71" t="s">
        <v>192</v>
      </c>
      <c r="F71" t="s">
        <v>192</v>
      </c>
      <c r="I71" s="95" t="str">
        <f t="shared" si="7"/>
        <v xml:space="preserve">                    Bank/Institutional Loans, Non-Current</v>
      </c>
      <c r="J71" s="74" t="str">
        <f t="shared" si="2"/>
        <v/>
      </c>
      <c r="K71" s="74" t="str">
        <f t="shared" si="3"/>
        <v/>
      </c>
      <c r="L71" s="74" t="str">
        <f t="shared" si="4"/>
        <v/>
      </c>
      <c r="M71" s="74" t="str">
        <f t="shared" si="5"/>
        <v/>
      </c>
      <c r="N71" s="109" t="str">
        <f t="shared" si="6"/>
        <v/>
      </c>
    </row>
    <row r="72" spans="1:14" x14ac:dyDescent="0.35">
      <c r="A72" t="s">
        <v>370</v>
      </c>
      <c r="B72" s="20">
        <v>10275000000</v>
      </c>
      <c r="C72" s="20">
        <v>10748000000</v>
      </c>
      <c r="D72" s="20">
        <v>11267000000</v>
      </c>
      <c r="E72" t="s">
        <v>192</v>
      </c>
      <c r="F72" t="s">
        <v>192</v>
      </c>
      <c r="I72" s="95" t="str">
        <f t="shared" si="7"/>
        <v xml:space="preserve">                Capital Lease Obligations, Non-Current</v>
      </c>
      <c r="J72" s="63">
        <f t="shared" si="2"/>
        <v>10275000000</v>
      </c>
      <c r="K72" s="63">
        <f t="shared" si="3"/>
        <v>10748000000</v>
      </c>
      <c r="L72" s="63">
        <f t="shared" si="4"/>
        <v>11267000000</v>
      </c>
      <c r="M72" s="74" t="str">
        <f t="shared" si="5"/>
        <v/>
      </c>
      <c r="N72" s="109" t="str">
        <f t="shared" si="6"/>
        <v/>
      </c>
    </row>
    <row r="73" spans="1:14" x14ac:dyDescent="0.35">
      <c r="A73" t="s">
        <v>371</v>
      </c>
      <c r="B73" s="20">
        <v>18361000000</v>
      </c>
      <c r="C73" s="20">
        <v>21737000000</v>
      </c>
      <c r="D73" s="20">
        <v>23124000000</v>
      </c>
      <c r="E73" s="20">
        <v>36634000000</v>
      </c>
      <c r="F73" s="20">
        <v>41549000000</v>
      </c>
      <c r="I73" s="95" t="str">
        <f t="shared" si="7"/>
        <v xml:space="preserve">        Other Non-Current Liabilities</v>
      </c>
      <c r="J73" s="69">
        <f t="shared" si="2"/>
        <v>18361000000</v>
      </c>
      <c r="K73" s="69">
        <f t="shared" si="3"/>
        <v>21737000000</v>
      </c>
      <c r="L73" s="69">
        <f t="shared" si="4"/>
        <v>23124000000</v>
      </c>
      <c r="M73" s="69">
        <f t="shared" si="5"/>
        <v>36634000000</v>
      </c>
      <c r="N73" s="99">
        <f t="shared" si="6"/>
        <v>41549000000</v>
      </c>
    </row>
    <row r="74" spans="1:14" x14ac:dyDescent="0.35">
      <c r="A74" t="s">
        <v>372</v>
      </c>
      <c r="B74" s="20">
        <v>24689000000</v>
      </c>
      <c r="C74" s="20">
        <v>16657000000</v>
      </c>
      <c r="D74" s="20">
        <v>15457000000</v>
      </c>
      <c r="E74" s="20">
        <v>9254000000</v>
      </c>
      <c r="F74" t="s">
        <v>192</v>
      </c>
      <c r="I74" s="95" t="str">
        <f t="shared" si="7"/>
        <v xml:space="preserve">        Payables and Accrued Expenses, Non-Current</v>
      </c>
      <c r="J74" s="69">
        <f t="shared" si="2"/>
        <v>24689000000</v>
      </c>
      <c r="K74" s="69">
        <f t="shared" si="3"/>
        <v>16657000000</v>
      </c>
      <c r="L74" s="69">
        <f t="shared" si="4"/>
        <v>15457000000</v>
      </c>
      <c r="M74" s="69">
        <f t="shared" si="5"/>
        <v>9254000000</v>
      </c>
      <c r="N74" s="100" t="str">
        <f t="shared" si="6"/>
        <v/>
      </c>
    </row>
    <row r="75" spans="1:14" x14ac:dyDescent="0.35">
      <c r="A75" t="s">
        <v>373</v>
      </c>
      <c r="B75" s="20">
        <v>24689000000</v>
      </c>
      <c r="C75" s="20">
        <v>16657000000</v>
      </c>
      <c r="D75" s="20">
        <v>15457000000</v>
      </c>
      <c r="E75" s="20">
        <v>9254000000</v>
      </c>
      <c r="F75" t="s">
        <v>192</v>
      </c>
      <c r="I75" s="95" t="str">
        <f t="shared" si="7"/>
        <v xml:space="preserve">            Trade and Other Payables, Non-Current</v>
      </c>
      <c r="J75" s="63">
        <f t="shared" si="2"/>
        <v>24689000000</v>
      </c>
      <c r="K75" s="63">
        <f t="shared" si="3"/>
        <v>16657000000</v>
      </c>
      <c r="L75" s="63">
        <f t="shared" si="4"/>
        <v>15457000000</v>
      </c>
      <c r="M75" s="63">
        <f t="shared" si="5"/>
        <v>9254000000</v>
      </c>
      <c r="N75" s="109" t="str">
        <f t="shared" si="6"/>
        <v/>
      </c>
    </row>
    <row r="76" spans="1:14" x14ac:dyDescent="0.35">
      <c r="A76" t="s">
        <v>374</v>
      </c>
      <c r="B76" s="20">
        <v>24689000000</v>
      </c>
      <c r="C76" s="20">
        <v>16657000000</v>
      </c>
      <c r="D76" s="20">
        <v>15457000000</v>
      </c>
      <c r="E76" s="20">
        <v>9254000000</v>
      </c>
      <c r="F76" t="s">
        <v>192</v>
      </c>
      <c r="I76" s="95" t="str">
        <f t="shared" si="7"/>
        <v xml:space="preserve">                Taxes Payable, Non-Current</v>
      </c>
      <c r="J76" s="63">
        <f t="shared" si="2"/>
        <v>24689000000</v>
      </c>
      <c r="K76" s="63">
        <f t="shared" si="3"/>
        <v>16657000000</v>
      </c>
      <c r="L76" s="63">
        <f t="shared" si="4"/>
        <v>15457000000</v>
      </c>
      <c r="M76" s="63">
        <f t="shared" si="5"/>
        <v>9254000000</v>
      </c>
      <c r="N76" s="109" t="str">
        <f t="shared" si="6"/>
        <v/>
      </c>
    </row>
    <row r="77" spans="1:14" x14ac:dyDescent="0.35">
      <c r="A77" t="s">
        <v>375</v>
      </c>
      <c r="B77" t="s">
        <v>192</v>
      </c>
      <c r="C77" t="s">
        <v>192</v>
      </c>
      <c r="D77" t="s">
        <v>192</v>
      </c>
      <c r="E77" t="s">
        <v>192</v>
      </c>
      <c r="F77" t="s">
        <v>192</v>
      </c>
      <c r="I77" s="95" t="str">
        <f t="shared" si="7"/>
        <v xml:space="preserve">        Tax Liabilities, Non-Current</v>
      </c>
      <c r="J77" s="74" t="str">
        <f t="shared" si="2"/>
        <v/>
      </c>
      <c r="K77" s="74" t="str">
        <f t="shared" si="3"/>
        <v/>
      </c>
      <c r="L77" s="74" t="str">
        <f t="shared" si="4"/>
        <v/>
      </c>
      <c r="M77" s="74" t="str">
        <f t="shared" si="5"/>
        <v/>
      </c>
      <c r="N77" s="109" t="str">
        <f t="shared" si="6"/>
        <v/>
      </c>
    </row>
    <row r="78" spans="1:14" x14ac:dyDescent="0.35">
      <c r="A78" t="s">
        <v>376</v>
      </c>
      <c r="B78" t="s">
        <v>192</v>
      </c>
      <c r="C78" t="s">
        <v>192</v>
      </c>
      <c r="D78" t="s">
        <v>192</v>
      </c>
      <c r="E78" t="s">
        <v>192</v>
      </c>
      <c r="F78" t="s">
        <v>192</v>
      </c>
      <c r="I78" s="95" t="str">
        <f t="shared" si="7"/>
        <v xml:space="preserve">            Deferred Tax Liabilities, Non-Current</v>
      </c>
      <c r="J78" s="74" t="str">
        <f t="shared" si="2"/>
        <v/>
      </c>
      <c r="K78" s="74" t="str">
        <f t="shared" si="3"/>
        <v/>
      </c>
      <c r="L78" s="74" t="str">
        <f t="shared" si="4"/>
        <v/>
      </c>
      <c r="M78" s="74" t="str">
        <f t="shared" si="5"/>
        <v/>
      </c>
      <c r="N78" s="109" t="str">
        <f t="shared" si="6"/>
        <v/>
      </c>
    </row>
    <row r="79" spans="1:14" x14ac:dyDescent="0.35">
      <c r="A79" t="s">
        <v>377</v>
      </c>
      <c r="B79" t="s">
        <v>192</v>
      </c>
      <c r="C79" t="s">
        <v>192</v>
      </c>
      <c r="D79" t="s">
        <v>192</v>
      </c>
      <c r="E79" t="s">
        <v>192</v>
      </c>
      <c r="F79" t="s">
        <v>192</v>
      </c>
      <c r="I79" s="95" t="str">
        <f t="shared" si="7"/>
        <v xml:space="preserve">        Deferred Liabilities, Non-Current</v>
      </c>
      <c r="J79" s="74" t="str">
        <f t="shared" si="2"/>
        <v/>
      </c>
      <c r="K79" s="74" t="str">
        <f t="shared" si="3"/>
        <v/>
      </c>
      <c r="L79" s="74" t="str">
        <f t="shared" si="4"/>
        <v/>
      </c>
      <c r="M79" s="74" t="str">
        <f t="shared" si="5"/>
        <v/>
      </c>
      <c r="N79" s="109" t="str">
        <f t="shared" si="6"/>
        <v/>
      </c>
    </row>
    <row r="80" spans="1:14" ht="15" thickBot="1" x14ac:dyDescent="0.4">
      <c r="A80" t="s">
        <v>378</v>
      </c>
      <c r="B80" t="s">
        <v>192</v>
      </c>
      <c r="C80" t="s">
        <v>192</v>
      </c>
      <c r="D80" t="s">
        <v>192</v>
      </c>
      <c r="E80" t="s">
        <v>192</v>
      </c>
      <c r="F80" t="s">
        <v>192</v>
      </c>
      <c r="I80" s="105" t="str">
        <f t="shared" si="7"/>
        <v xml:space="preserve">            Deferred Income/Customer Advances/Billings in Excess of Cost, Non-Current</v>
      </c>
      <c r="J80" s="107" t="str">
        <f t="shared" si="2"/>
        <v/>
      </c>
      <c r="K80" s="107" t="str">
        <f t="shared" si="3"/>
        <v/>
      </c>
      <c r="L80" s="107" t="str">
        <f t="shared" si="4"/>
        <v/>
      </c>
      <c r="M80" s="107" t="str">
        <f t="shared" si="5"/>
        <v/>
      </c>
      <c r="N80" s="108" t="str">
        <f t="shared" si="6"/>
        <v/>
      </c>
    </row>
    <row r="81" spans="1:14" x14ac:dyDescent="0.35">
      <c r="A81" t="s">
        <v>379</v>
      </c>
      <c r="B81" s="20">
        <v>63090000000</v>
      </c>
      <c r="C81" s="20">
        <v>50672000000</v>
      </c>
      <c r="D81" s="20">
        <v>62146000000</v>
      </c>
      <c r="E81" s="20">
        <v>56950000000</v>
      </c>
      <c r="F81" s="20">
        <v>73733000000</v>
      </c>
      <c r="I81" s="92" t="str">
        <f t="shared" si="7"/>
        <v>Total Equity</v>
      </c>
      <c r="J81" s="93">
        <f t="shared" si="2"/>
        <v>63090000000</v>
      </c>
      <c r="K81" s="93">
        <f t="shared" si="3"/>
        <v>50672000000</v>
      </c>
      <c r="L81" s="93">
        <f t="shared" si="4"/>
        <v>62146000000</v>
      </c>
      <c r="M81" s="93">
        <f t="shared" si="5"/>
        <v>56950000000</v>
      </c>
      <c r="N81" s="94">
        <f t="shared" si="6"/>
        <v>73733000000</v>
      </c>
    </row>
    <row r="82" spans="1:14" x14ac:dyDescent="0.35">
      <c r="A82" t="s">
        <v>380</v>
      </c>
      <c r="B82" s="20">
        <v>63090000000</v>
      </c>
      <c r="C82" s="20">
        <v>50672000000</v>
      </c>
      <c r="D82" s="20">
        <v>62146000000</v>
      </c>
      <c r="E82" s="20">
        <v>56950000000</v>
      </c>
      <c r="F82" s="20">
        <v>73733000000</v>
      </c>
      <c r="I82" s="95" t="str">
        <f t="shared" si="7"/>
        <v xml:space="preserve">    Equity Attributable to Parent Stockholders</v>
      </c>
      <c r="J82" s="63">
        <f t="shared" si="2"/>
        <v>63090000000</v>
      </c>
      <c r="K82" s="63">
        <f t="shared" si="3"/>
        <v>50672000000</v>
      </c>
      <c r="L82" s="63">
        <f t="shared" si="4"/>
        <v>62146000000</v>
      </c>
      <c r="M82" s="63">
        <f t="shared" si="5"/>
        <v>56950000000</v>
      </c>
      <c r="N82" s="96">
        <f t="shared" si="6"/>
        <v>73733000000</v>
      </c>
    </row>
    <row r="83" spans="1:14" x14ac:dyDescent="0.35">
      <c r="A83" t="s">
        <v>381</v>
      </c>
      <c r="B83" s="20">
        <v>57365000000</v>
      </c>
      <c r="C83" s="20">
        <v>64849000000</v>
      </c>
      <c r="D83" s="20">
        <v>73812000000</v>
      </c>
      <c r="E83" s="20">
        <v>83276000000</v>
      </c>
      <c r="F83" s="20">
        <v>93568000000</v>
      </c>
      <c r="I83" s="95" t="str">
        <f t="shared" si="7"/>
        <v xml:space="preserve">        Paid in Capital</v>
      </c>
      <c r="J83" s="69">
        <f t="shared" si="2"/>
        <v>57365000000</v>
      </c>
      <c r="K83" s="69">
        <f t="shared" si="3"/>
        <v>64849000000</v>
      </c>
      <c r="L83" s="69">
        <f t="shared" si="4"/>
        <v>73812000000</v>
      </c>
      <c r="M83" s="69">
        <f t="shared" si="5"/>
        <v>83276000000</v>
      </c>
      <c r="N83" s="99">
        <f t="shared" si="6"/>
        <v>93568000000</v>
      </c>
    </row>
    <row r="84" spans="1:14" x14ac:dyDescent="0.35">
      <c r="A84" t="s">
        <v>382</v>
      </c>
      <c r="B84" s="20">
        <v>57365000000</v>
      </c>
      <c r="C84" s="20">
        <v>64849000000</v>
      </c>
      <c r="D84" s="20">
        <v>73812000000</v>
      </c>
      <c r="E84" s="20">
        <v>83276000000</v>
      </c>
      <c r="F84" s="20">
        <v>93568000000</v>
      </c>
      <c r="I84" s="95" t="str">
        <f t="shared" si="7"/>
        <v xml:space="preserve">            Capital Stock</v>
      </c>
      <c r="J84" s="63">
        <f t="shared" si="2"/>
        <v>57365000000</v>
      </c>
      <c r="K84" s="63">
        <f t="shared" si="3"/>
        <v>64849000000</v>
      </c>
      <c r="L84" s="63">
        <f t="shared" si="4"/>
        <v>73812000000</v>
      </c>
      <c r="M84" s="63">
        <f t="shared" si="5"/>
        <v>83276000000</v>
      </c>
      <c r="N84" s="96">
        <f t="shared" si="6"/>
        <v>93568000000</v>
      </c>
    </row>
    <row r="85" spans="1:14" x14ac:dyDescent="0.35">
      <c r="A85" t="s">
        <v>383</v>
      </c>
      <c r="B85" s="20">
        <v>5562000000</v>
      </c>
      <c r="C85" s="20">
        <v>-3068000000</v>
      </c>
      <c r="D85" s="20">
        <v>-214000000</v>
      </c>
      <c r="E85" s="20">
        <v>-19154000000</v>
      </c>
      <c r="F85" s="20">
        <v>-14264000000</v>
      </c>
      <c r="I85" s="95" t="str">
        <f t="shared" si="7"/>
        <v xml:space="preserve">        Retained Earnings/Accumulated Deficit</v>
      </c>
      <c r="J85" s="69">
        <f t="shared" si="2"/>
        <v>5562000000</v>
      </c>
      <c r="K85" s="69">
        <f t="shared" si="3"/>
        <v>-3068000000</v>
      </c>
      <c r="L85" s="69">
        <f t="shared" si="4"/>
        <v>-214000000</v>
      </c>
      <c r="M85" s="69">
        <f t="shared" si="5"/>
        <v>-19154000000</v>
      </c>
      <c r="N85" s="99">
        <f t="shared" si="6"/>
        <v>-14264000000</v>
      </c>
    </row>
    <row r="86" spans="1:14" x14ac:dyDescent="0.35">
      <c r="A86" t="s">
        <v>384</v>
      </c>
      <c r="B86" s="20">
        <v>163000000</v>
      </c>
      <c r="C86" s="20">
        <v>-11109000000</v>
      </c>
      <c r="D86" s="20">
        <v>-11452000000</v>
      </c>
      <c r="E86" s="20">
        <v>-7172000000</v>
      </c>
      <c r="F86" s="20">
        <v>-5571000000</v>
      </c>
      <c r="I86" s="95" t="str">
        <f t="shared" si="7"/>
        <v xml:space="preserve">        Reserves/Accumulated Comprehensive Income/Losses</v>
      </c>
      <c r="J86" s="69">
        <f t="shared" si="2"/>
        <v>163000000</v>
      </c>
      <c r="K86" s="69">
        <f t="shared" si="3"/>
        <v>-11109000000</v>
      </c>
      <c r="L86" s="69">
        <f t="shared" si="4"/>
        <v>-11452000000</v>
      </c>
      <c r="M86" s="69">
        <f t="shared" si="5"/>
        <v>-7172000000</v>
      </c>
      <c r="N86" s="99">
        <f t="shared" si="6"/>
        <v>-5571000000</v>
      </c>
    </row>
    <row r="87" spans="1:14" ht="15" thickBot="1" x14ac:dyDescent="0.4">
      <c r="A87" t="s">
        <v>385</v>
      </c>
      <c r="B87" s="20">
        <v>163000000</v>
      </c>
      <c r="C87" s="20">
        <v>-11109000000</v>
      </c>
      <c r="D87" s="20">
        <v>-11452000000</v>
      </c>
      <c r="E87" s="20">
        <v>-7172000000</v>
      </c>
      <c r="F87" s="20">
        <v>-5571000000</v>
      </c>
      <c r="I87" s="105" t="str">
        <f t="shared" si="7"/>
        <v xml:space="preserve">            Other Reserves/Accum.Comp.Inc</v>
      </c>
      <c r="J87" s="106">
        <f t="shared" si="2"/>
        <v>163000000</v>
      </c>
      <c r="K87" s="106">
        <f t="shared" si="3"/>
        <v>-11109000000</v>
      </c>
      <c r="L87" s="106">
        <f t="shared" si="4"/>
        <v>-11452000000</v>
      </c>
      <c r="M87" s="106">
        <f t="shared" si="5"/>
        <v>-7172000000</v>
      </c>
      <c r="N87" s="137">
        <f t="shared" si="6"/>
        <v>-5571000000</v>
      </c>
    </row>
    <row r="88" spans="1:14" x14ac:dyDescent="0.35">
      <c r="A88" t="s">
        <v>386</v>
      </c>
      <c r="B88" s="20">
        <v>124719000000</v>
      </c>
      <c r="C88" s="20">
        <v>120069000000</v>
      </c>
      <c r="D88" s="20">
        <v>111088000000</v>
      </c>
      <c r="E88" s="20">
        <v>106629000000</v>
      </c>
      <c r="F88" s="20">
        <v>98657000000</v>
      </c>
      <c r="I88" s="92" t="str">
        <f t="shared" si="7"/>
        <v>Debt Maturity Schedule Total</v>
      </c>
      <c r="J88" s="93">
        <f t="shared" si="2"/>
        <v>124719000000</v>
      </c>
      <c r="K88" s="93">
        <f t="shared" si="3"/>
        <v>120069000000</v>
      </c>
      <c r="L88" s="93">
        <f t="shared" si="4"/>
        <v>111088000000</v>
      </c>
      <c r="M88" s="93">
        <f t="shared" si="5"/>
        <v>106629000000</v>
      </c>
      <c r="N88" s="94">
        <f t="shared" si="6"/>
        <v>98657000000</v>
      </c>
    </row>
    <row r="89" spans="1:14" x14ac:dyDescent="0.35">
      <c r="A89" t="s">
        <v>387</v>
      </c>
      <c r="B89" s="20">
        <v>15583000000</v>
      </c>
      <c r="C89" s="20">
        <v>21121000000</v>
      </c>
      <c r="D89" s="20">
        <v>15928000000</v>
      </c>
      <c r="E89" s="20">
        <v>20897000000</v>
      </c>
      <c r="F89" s="20">
        <v>20372000000</v>
      </c>
      <c r="I89" s="95" t="str">
        <f t="shared" si="7"/>
        <v xml:space="preserve">    Debt due in Year 1</v>
      </c>
      <c r="J89" s="63">
        <f t="shared" si="2"/>
        <v>15583000000</v>
      </c>
      <c r="K89" s="63">
        <f t="shared" si="3"/>
        <v>21121000000</v>
      </c>
      <c r="L89" s="63">
        <f t="shared" si="4"/>
        <v>15928000000</v>
      </c>
      <c r="M89" s="63">
        <f t="shared" si="5"/>
        <v>20897000000</v>
      </c>
      <c r="N89" s="96">
        <f t="shared" si="6"/>
        <v>20372000000</v>
      </c>
    </row>
    <row r="90" spans="1:14" x14ac:dyDescent="0.35">
      <c r="A90" t="s">
        <v>388</v>
      </c>
      <c r="B90" s="20">
        <v>11391000000</v>
      </c>
      <c r="C90" s="20">
        <v>9910000000</v>
      </c>
      <c r="D90" s="20">
        <v>10775000000</v>
      </c>
      <c r="E90" s="20">
        <v>12342000000</v>
      </c>
      <c r="F90" s="20">
        <v>10078000000</v>
      </c>
      <c r="I90" s="95" t="str">
        <f t="shared" si="7"/>
        <v xml:space="preserve">    Debt due in Year 2</v>
      </c>
      <c r="J90" s="63">
        <f t="shared" si="2"/>
        <v>11391000000</v>
      </c>
      <c r="K90" s="63">
        <f t="shared" si="3"/>
        <v>9910000000</v>
      </c>
      <c r="L90" s="63">
        <f t="shared" si="4"/>
        <v>10775000000</v>
      </c>
      <c r="M90" s="63">
        <f t="shared" si="5"/>
        <v>12342000000</v>
      </c>
      <c r="N90" s="96">
        <f t="shared" si="6"/>
        <v>10078000000</v>
      </c>
    </row>
    <row r="91" spans="1:14" x14ac:dyDescent="0.35">
      <c r="A91" t="s">
        <v>389</v>
      </c>
      <c r="B91" s="20">
        <v>10202000000</v>
      </c>
      <c r="C91" s="20">
        <v>10645000000</v>
      </c>
      <c r="D91" s="20">
        <v>12265000000</v>
      </c>
      <c r="E91" s="20">
        <v>9936000000</v>
      </c>
      <c r="F91" s="20">
        <v>9300000000</v>
      </c>
      <c r="I91" s="95" t="str">
        <f t="shared" si="7"/>
        <v xml:space="preserve">    Debt due in Year 3</v>
      </c>
      <c r="J91" s="63">
        <f t="shared" si="2"/>
        <v>10202000000</v>
      </c>
      <c r="K91" s="63">
        <f t="shared" si="3"/>
        <v>10645000000</v>
      </c>
      <c r="L91" s="63">
        <f t="shared" si="4"/>
        <v>12265000000</v>
      </c>
      <c r="M91" s="63">
        <f t="shared" si="5"/>
        <v>9936000000</v>
      </c>
      <c r="N91" s="96">
        <f t="shared" si="6"/>
        <v>9300000000</v>
      </c>
    </row>
    <row r="92" spans="1:14" x14ac:dyDescent="0.35">
      <c r="A92" t="s">
        <v>390</v>
      </c>
      <c r="B92" s="20">
        <v>10914000000</v>
      </c>
      <c r="C92" s="20">
        <v>11209000000</v>
      </c>
      <c r="D92" s="20">
        <v>9786000000</v>
      </c>
      <c r="E92" s="20">
        <v>7800000000</v>
      </c>
      <c r="F92" s="20">
        <v>5235000000</v>
      </c>
      <c r="I92" s="95" t="str">
        <f t="shared" si="7"/>
        <v xml:space="preserve">    Debt due in Year 4</v>
      </c>
      <c r="J92" s="63">
        <f t="shared" si="2"/>
        <v>10914000000</v>
      </c>
      <c r="K92" s="63">
        <f t="shared" si="3"/>
        <v>11209000000</v>
      </c>
      <c r="L92" s="63">
        <f t="shared" si="4"/>
        <v>9786000000</v>
      </c>
      <c r="M92" s="63">
        <f t="shared" si="5"/>
        <v>7800000000</v>
      </c>
      <c r="N92" s="96">
        <f t="shared" si="6"/>
        <v>5235000000</v>
      </c>
    </row>
    <row r="93" spans="1:14" x14ac:dyDescent="0.35">
      <c r="A93" t="s">
        <v>391</v>
      </c>
      <c r="B93" s="20">
        <v>11408000000</v>
      </c>
      <c r="C93" s="20">
        <v>9631000000</v>
      </c>
      <c r="D93" s="20">
        <v>7800000000</v>
      </c>
      <c r="E93" s="20">
        <v>5153000000</v>
      </c>
      <c r="F93" s="20">
        <v>4972000000</v>
      </c>
      <c r="I93" s="95" t="str">
        <f t="shared" si="7"/>
        <v xml:space="preserve">    Debt due in Year 5</v>
      </c>
      <c r="J93" s="63">
        <f t="shared" si="2"/>
        <v>11408000000</v>
      </c>
      <c r="K93" s="63">
        <f t="shared" si="3"/>
        <v>9631000000</v>
      </c>
      <c r="L93" s="63">
        <f t="shared" si="4"/>
        <v>7800000000</v>
      </c>
      <c r="M93" s="63">
        <f t="shared" si="5"/>
        <v>5153000000</v>
      </c>
      <c r="N93" s="96">
        <f t="shared" si="6"/>
        <v>4972000000</v>
      </c>
    </row>
    <row r="94" spans="1:14" x14ac:dyDescent="0.35">
      <c r="A94" t="s">
        <v>392</v>
      </c>
      <c r="B94" s="20">
        <v>64565000000</v>
      </c>
      <c r="C94" s="20">
        <v>59290000000</v>
      </c>
      <c r="D94" s="20">
        <v>56003000000</v>
      </c>
      <c r="E94" s="20">
        <v>51180000000</v>
      </c>
      <c r="F94" s="20">
        <v>49303000000</v>
      </c>
      <c r="I94" s="95" t="str">
        <f t="shared" si="7"/>
        <v xml:space="preserve">    Debt due Beyond</v>
      </c>
      <c r="J94" s="63">
        <f t="shared" ref="J94:J133" si="8">B94</f>
        <v>64565000000</v>
      </c>
      <c r="K94" s="63">
        <f t="shared" ref="K94:K133" si="9">C94</f>
        <v>59290000000</v>
      </c>
      <c r="L94" s="63">
        <f t="shared" ref="L94:L133" si="10">D94</f>
        <v>56003000000</v>
      </c>
      <c r="M94" s="63">
        <f t="shared" ref="M94:M133" si="11">E94</f>
        <v>51180000000</v>
      </c>
      <c r="N94" s="96">
        <f t="shared" ref="N94:N133" si="12">F94</f>
        <v>49303000000</v>
      </c>
    </row>
    <row r="95" spans="1:14" x14ac:dyDescent="0.35">
      <c r="A95" t="s">
        <v>393</v>
      </c>
      <c r="B95" s="20">
        <v>656000000</v>
      </c>
      <c r="C95" s="20">
        <v>-1737000000</v>
      </c>
      <c r="D95" s="20">
        <v>-1469000000</v>
      </c>
      <c r="E95" s="20">
        <v>-679000000</v>
      </c>
      <c r="F95" s="20">
        <v>-603000000</v>
      </c>
      <c r="I95" s="95" t="str">
        <f t="shared" si="7"/>
        <v xml:space="preserve">    Debt - Interests Charges and Other Adjustments</v>
      </c>
      <c r="J95" s="63">
        <f t="shared" si="8"/>
        <v>656000000</v>
      </c>
      <c r="K95" s="63">
        <f t="shared" si="9"/>
        <v>-1737000000</v>
      </c>
      <c r="L95" s="63">
        <f t="shared" si="10"/>
        <v>-1469000000</v>
      </c>
      <c r="M95" s="63">
        <f t="shared" si="11"/>
        <v>-679000000</v>
      </c>
      <c r="N95" s="96">
        <f t="shared" si="12"/>
        <v>-603000000</v>
      </c>
    </row>
    <row r="96" spans="1:14" x14ac:dyDescent="0.35">
      <c r="A96" t="s">
        <v>394</v>
      </c>
      <c r="B96" s="20">
        <v>848000000</v>
      </c>
      <c r="C96" s="20">
        <v>941000000</v>
      </c>
      <c r="D96" s="20">
        <v>1024000000</v>
      </c>
      <c r="E96" s="20">
        <v>896000000</v>
      </c>
      <c r="F96" s="20">
        <v>1230000000</v>
      </c>
      <c r="I96" s="95" t="str">
        <f t="shared" si="7"/>
        <v>Capital Lease Obligation Maturity Schedule Total</v>
      </c>
      <c r="J96" s="63">
        <f t="shared" si="8"/>
        <v>848000000</v>
      </c>
      <c r="K96" s="63">
        <f t="shared" si="9"/>
        <v>941000000</v>
      </c>
      <c r="L96" s="63">
        <f t="shared" si="10"/>
        <v>1024000000</v>
      </c>
      <c r="M96" s="63">
        <f t="shared" si="11"/>
        <v>896000000</v>
      </c>
      <c r="N96" s="96">
        <f t="shared" si="12"/>
        <v>1230000000</v>
      </c>
    </row>
    <row r="97" spans="1:14" x14ac:dyDescent="0.35">
      <c r="A97" t="s">
        <v>395</v>
      </c>
      <c r="B97" s="20">
        <v>104000000</v>
      </c>
      <c r="C97" s="20">
        <v>155000000</v>
      </c>
      <c r="D97" s="20">
        <v>196000000</v>
      </c>
      <c r="E97" s="20">
        <v>171000000</v>
      </c>
      <c r="F97" s="20">
        <v>563000000</v>
      </c>
      <c r="I97" s="95" t="str">
        <f t="shared" si="7"/>
        <v xml:space="preserve">    Capital Lease due in Year 1</v>
      </c>
      <c r="J97" s="63">
        <f t="shared" si="8"/>
        <v>104000000</v>
      </c>
      <c r="K97" s="63">
        <f t="shared" si="9"/>
        <v>155000000</v>
      </c>
      <c r="L97" s="63">
        <f t="shared" si="10"/>
        <v>196000000</v>
      </c>
      <c r="M97" s="63">
        <f t="shared" si="11"/>
        <v>171000000</v>
      </c>
      <c r="N97" s="96">
        <f t="shared" si="12"/>
        <v>563000000</v>
      </c>
    </row>
    <row r="98" spans="1:14" x14ac:dyDescent="0.35">
      <c r="A98" t="s">
        <v>396</v>
      </c>
      <c r="B98" s="20">
        <v>123000000</v>
      </c>
      <c r="C98" s="20">
        <v>130000000</v>
      </c>
      <c r="D98" s="20">
        <v>151000000</v>
      </c>
      <c r="E98" s="20">
        <v>131000000</v>
      </c>
      <c r="F98" s="20">
        <v>73000000</v>
      </c>
      <c r="I98" s="95" t="str">
        <f t="shared" si="7"/>
        <v xml:space="preserve">    Capital Lease due in Year 2</v>
      </c>
      <c r="J98" s="63">
        <f t="shared" si="8"/>
        <v>123000000</v>
      </c>
      <c r="K98" s="63">
        <f t="shared" si="9"/>
        <v>130000000</v>
      </c>
      <c r="L98" s="63">
        <f t="shared" si="10"/>
        <v>151000000</v>
      </c>
      <c r="M98" s="63">
        <f t="shared" si="11"/>
        <v>131000000</v>
      </c>
      <c r="N98" s="96">
        <f t="shared" si="12"/>
        <v>73000000</v>
      </c>
    </row>
    <row r="99" spans="1:14" x14ac:dyDescent="0.35">
      <c r="A99" t="s">
        <v>397</v>
      </c>
      <c r="B99" s="20">
        <v>99000000</v>
      </c>
      <c r="C99" s="20">
        <v>81000000</v>
      </c>
      <c r="D99" s="20">
        <v>120000000</v>
      </c>
      <c r="E99" s="20">
        <v>59000000</v>
      </c>
      <c r="F99" s="20">
        <v>51000000</v>
      </c>
      <c r="I99" s="95" t="str">
        <f t="shared" si="7"/>
        <v xml:space="preserve">    Capital Lease due in Year 3</v>
      </c>
      <c r="J99" s="63">
        <f t="shared" si="8"/>
        <v>99000000</v>
      </c>
      <c r="K99" s="63">
        <f t="shared" si="9"/>
        <v>81000000</v>
      </c>
      <c r="L99" s="63">
        <f t="shared" si="10"/>
        <v>120000000</v>
      </c>
      <c r="M99" s="63">
        <f t="shared" si="11"/>
        <v>59000000</v>
      </c>
      <c r="N99" s="96">
        <f t="shared" si="12"/>
        <v>51000000</v>
      </c>
    </row>
    <row r="100" spans="1:14" x14ac:dyDescent="0.35">
      <c r="A100" t="s">
        <v>398</v>
      </c>
      <c r="B100" s="20">
        <v>46000000</v>
      </c>
      <c r="C100" s="20">
        <v>48000000</v>
      </c>
      <c r="D100" s="20">
        <v>52000000</v>
      </c>
      <c r="E100" s="20">
        <v>38000000</v>
      </c>
      <c r="F100" s="20">
        <v>48000000</v>
      </c>
      <c r="I100" s="95" t="str">
        <f t="shared" si="7"/>
        <v xml:space="preserve">    Capital Lease due in Year 4</v>
      </c>
      <c r="J100" s="63">
        <f t="shared" si="8"/>
        <v>46000000</v>
      </c>
      <c r="K100" s="63">
        <f t="shared" si="9"/>
        <v>48000000</v>
      </c>
      <c r="L100" s="63">
        <f t="shared" si="10"/>
        <v>52000000</v>
      </c>
      <c r="M100" s="63">
        <f t="shared" si="11"/>
        <v>38000000</v>
      </c>
      <c r="N100" s="96">
        <f t="shared" si="12"/>
        <v>48000000</v>
      </c>
    </row>
    <row r="101" spans="1:14" x14ac:dyDescent="0.35">
      <c r="A101" t="s">
        <v>399</v>
      </c>
      <c r="B101" s="20">
        <v>26000000</v>
      </c>
      <c r="C101" s="20">
        <v>34000000</v>
      </c>
      <c r="D101" s="20">
        <v>34000000</v>
      </c>
      <c r="E101" s="20">
        <v>36000000</v>
      </c>
      <c r="F101" s="20">
        <v>43000000</v>
      </c>
      <c r="I101" s="95" t="str">
        <f t="shared" si="7"/>
        <v xml:space="preserve">    Capital Lease due in Year 5</v>
      </c>
      <c r="J101" s="63">
        <f t="shared" si="8"/>
        <v>26000000</v>
      </c>
      <c r="K101" s="63">
        <f t="shared" si="9"/>
        <v>34000000</v>
      </c>
      <c r="L101" s="63">
        <f t="shared" si="10"/>
        <v>34000000</v>
      </c>
      <c r="M101" s="63">
        <f t="shared" si="11"/>
        <v>36000000</v>
      </c>
      <c r="N101" s="96">
        <f t="shared" si="12"/>
        <v>43000000</v>
      </c>
    </row>
    <row r="102" spans="1:14" x14ac:dyDescent="0.35">
      <c r="A102" t="s">
        <v>400</v>
      </c>
      <c r="B102" s="20">
        <v>868000000</v>
      </c>
      <c r="C102" s="20">
        <v>906000000</v>
      </c>
      <c r="D102" s="20">
        <v>872000000</v>
      </c>
      <c r="E102" s="20">
        <v>837000000</v>
      </c>
      <c r="F102" s="20">
        <v>801000000</v>
      </c>
      <c r="I102" s="95" t="str">
        <f t="shared" si="7"/>
        <v xml:space="preserve">    Capital Lease due Beyond</v>
      </c>
      <c r="J102" s="63">
        <f t="shared" si="8"/>
        <v>868000000</v>
      </c>
      <c r="K102" s="63">
        <f t="shared" si="9"/>
        <v>906000000</v>
      </c>
      <c r="L102" s="63">
        <f t="shared" si="10"/>
        <v>872000000</v>
      </c>
      <c r="M102" s="63">
        <f t="shared" si="11"/>
        <v>837000000</v>
      </c>
      <c r="N102" s="96">
        <f t="shared" si="12"/>
        <v>801000000</v>
      </c>
    </row>
    <row r="103" spans="1:14" x14ac:dyDescent="0.35">
      <c r="A103" t="s">
        <v>401</v>
      </c>
      <c r="B103" s="20">
        <v>-418000000</v>
      </c>
      <c r="C103" s="20">
        <v>-413000000</v>
      </c>
      <c r="D103" s="20">
        <v>-401000000</v>
      </c>
      <c r="E103" s="20">
        <v>-376000000</v>
      </c>
      <c r="F103" s="20">
        <v>-349000000</v>
      </c>
      <c r="I103" s="95" t="str">
        <f t="shared" si="7"/>
        <v xml:space="preserve">    Capital Lease - Interests Charges and Other Adjustments</v>
      </c>
      <c r="J103" s="63">
        <f t="shared" si="8"/>
        <v>-418000000</v>
      </c>
      <c r="K103" s="63">
        <f t="shared" si="9"/>
        <v>-413000000</v>
      </c>
      <c r="L103" s="63">
        <f t="shared" si="10"/>
        <v>-401000000</v>
      </c>
      <c r="M103" s="63">
        <f t="shared" si="11"/>
        <v>-376000000</v>
      </c>
      <c r="N103" s="96">
        <f t="shared" si="12"/>
        <v>-349000000</v>
      </c>
    </row>
    <row r="104" spans="1:14" x14ac:dyDescent="0.35">
      <c r="A104" t="s">
        <v>402</v>
      </c>
      <c r="B104" s="20">
        <v>10955000000</v>
      </c>
      <c r="C104" s="20">
        <v>11470000000</v>
      </c>
      <c r="D104" s="20">
        <v>11818000000</v>
      </c>
      <c r="E104" s="20">
        <v>11534000000</v>
      </c>
      <c r="F104" s="20">
        <v>12490000000</v>
      </c>
      <c r="I104" s="95" t="str">
        <f t="shared" si="7"/>
        <v>Operating Lease Obligation Maturity Schedule Total</v>
      </c>
      <c r="J104" s="63">
        <f t="shared" si="8"/>
        <v>10955000000</v>
      </c>
      <c r="K104" s="63">
        <f t="shared" si="9"/>
        <v>11470000000</v>
      </c>
      <c r="L104" s="63">
        <f t="shared" si="10"/>
        <v>11818000000</v>
      </c>
      <c r="M104" s="63">
        <f t="shared" si="11"/>
        <v>11534000000</v>
      </c>
      <c r="N104" s="96">
        <f t="shared" si="12"/>
        <v>12490000000</v>
      </c>
    </row>
    <row r="105" spans="1:14" x14ac:dyDescent="0.35">
      <c r="A105" t="s">
        <v>403</v>
      </c>
      <c r="B105" s="20">
        <v>1629000000</v>
      </c>
      <c r="C105" s="20">
        <v>1758000000</v>
      </c>
      <c r="D105" s="20">
        <v>1719000000</v>
      </c>
      <c r="E105" s="20">
        <v>1820000000</v>
      </c>
      <c r="F105" s="20">
        <v>1967000000</v>
      </c>
      <c r="I105" s="95" t="str">
        <f t="shared" si="7"/>
        <v xml:space="preserve">    Operating Lease due in Year 1</v>
      </c>
      <c r="J105" s="63">
        <f t="shared" si="8"/>
        <v>1629000000</v>
      </c>
      <c r="K105" s="63">
        <f t="shared" si="9"/>
        <v>1758000000</v>
      </c>
      <c r="L105" s="63">
        <f t="shared" si="10"/>
        <v>1719000000</v>
      </c>
      <c r="M105" s="63">
        <f t="shared" si="11"/>
        <v>1820000000</v>
      </c>
      <c r="N105" s="96">
        <f t="shared" si="12"/>
        <v>1967000000</v>
      </c>
    </row>
    <row r="106" spans="1:14" x14ac:dyDescent="0.35">
      <c r="A106" t="s">
        <v>404</v>
      </c>
      <c r="B106" s="20">
        <v>1560000000</v>
      </c>
      <c r="C106" s="20">
        <v>1742000000</v>
      </c>
      <c r="D106" s="20">
        <v>1875000000</v>
      </c>
      <c r="E106" s="20">
        <v>1914000000</v>
      </c>
      <c r="F106" s="20">
        <v>1988000000</v>
      </c>
      <c r="I106" s="95" t="str">
        <f t="shared" si="7"/>
        <v xml:space="preserve">    Operating Lease due in Year 2</v>
      </c>
      <c r="J106" s="63">
        <f t="shared" si="8"/>
        <v>1560000000</v>
      </c>
      <c r="K106" s="63">
        <f t="shared" si="9"/>
        <v>1742000000</v>
      </c>
      <c r="L106" s="63">
        <f t="shared" si="10"/>
        <v>1875000000</v>
      </c>
      <c r="M106" s="63">
        <f t="shared" si="11"/>
        <v>1914000000</v>
      </c>
      <c r="N106" s="96">
        <f t="shared" si="12"/>
        <v>1988000000</v>
      </c>
    </row>
    <row r="107" spans="1:14" x14ac:dyDescent="0.35">
      <c r="A107" t="s">
        <v>405</v>
      </c>
      <c r="B107" s="20">
        <v>1499000000</v>
      </c>
      <c r="C107" s="20">
        <v>1677000000</v>
      </c>
      <c r="D107" s="20">
        <v>1732000000</v>
      </c>
      <c r="E107" s="20">
        <v>1674000000</v>
      </c>
      <c r="F107" s="20">
        <v>1848000000</v>
      </c>
      <c r="I107" s="95" t="str">
        <f t="shared" si="7"/>
        <v xml:space="preserve">    Operating Lease due in Year 3</v>
      </c>
      <c r="J107" s="63">
        <f t="shared" si="8"/>
        <v>1499000000</v>
      </c>
      <c r="K107" s="63">
        <f t="shared" si="9"/>
        <v>1677000000</v>
      </c>
      <c r="L107" s="63">
        <f t="shared" si="10"/>
        <v>1732000000</v>
      </c>
      <c r="M107" s="63">
        <f t="shared" si="11"/>
        <v>1674000000</v>
      </c>
      <c r="N107" s="96">
        <f t="shared" si="12"/>
        <v>1848000000</v>
      </c>
    </row>
    <row r="108" spans="1:14" x14ac:dyDescent="0.35">
      <c r="A108" t="s">
        <v>406</v>
      </c>
      <c r="B108" s="20">
        <v>1251000000</v>
      </c>
      <c r="C108" s="20">
        <v>1382000000</v>
      </c>
      <c r="D108" s="20">
        <v>1351000000</v>
      </c>
      <c r="E108" s="20">
        <v>1360000000</v>
      </c>
      <c r="F108" s="20">
        <v>1585000000</v>
      </c>
      <c r="I108" s="95" t="str">
        <f t="shared" si="7"/>
        <v xml:space="preserve">    Operating Lease due in Year 4</v>
      </c>
      <c r="J108" s="63">
        <f t="shared" si="8"/>
        <v>1251000000</v>
      </c>
      <c r="K108" s="63">
        <f t="shared" si="9"/>
        <v>1382000000</v>
      </c>
      <c r="L108" s="63">
        <f t="shared" si="10"/>
        <v>1351000000</v>
      </c>
      <c r="M108" s="63">
        <f t="shared" si="11"/>
        <v>1360000000</v>
      </c>
      <c r="N108" s="96">
        <f t="shared" si="12"/>
        <v>1585000000</v>
      </c>
    </row>
    <row r="109" spans="1:14" x14ac:dyDescent="0.35">
      <c r="A109" t="s">
        <v>407</v>
      </c>
      <c r="B109" s="20">
        <v>1061000000</v>
      </c>
      <c r="C109" s="20">
        <v>1143000000</v>
      </c>
      <c r="D109" s="20">
        <v>1181000000</v>
      </c>
      <c r="E109" s="20">
        <v>1187000000</v>
      </c>
      <c r="F109" s="20">
        <v>1381000000</v>
      </c>
      <c r="I109" s="95" t="str">
        <f t="shared" si="7"/>
        <v xml:space="preserve">    Operating Lease due Beyond</v>
      </c>
      <c r="J109" s="63">
        <f t="shared" si="8"/>
        <v>1061000000</v>
      </c>
      <c r="K109" s="63">
        <f t="shared" si="9"/>
        <v>1143000000</v>
      </c>
      <c r="L109" s="63">
        <f t="shared" si="10"/>
        <v>1181000000</v>
      </c>
      <c r="M109" s="63">
        <f t="shared" si="11"/>
        <v>1187000000</v>
      </c>
      <c r="N109" s="96">
        <f t="shared" si="12"/>
        <v>1381000000</v>
      </c>
    </row>
    <row r="110" spans="1:14" x14ac:dyDescent="0.35">
      <c r="A110" t="s">
        <v>408</v>
      </c>
      <c r="B110" s="20">
        <v>5187000000</v>
      </c>
      <c r="C110" s="20">
        <v>5080000000</v>
      </c>
      <c r="D110" s="20">
        <v>5983000000</v>
      </c>
      <c r="E110" s="20">
        <v>5563000000</v>
      </c>
      <c r="F110" s="20">
        <v>5956000000</v>
      </c>
      <c r="I110" s="95" t="str">
        <f t="shared" si="7"/>
        <v xml:space="preserve">    Operating Lease - Interests Charges and Other Adjustments</v>
      </c>
      <c r="J110" s="63">
        <f t="shared" si="8"/>
        <v>5187000000</v>
      </c>
      <c r="K110" s="63">
        <f t="shared" si="9"/>
        <v>5080000000</v>
      </c>
      <c r="L110" s="63">
        <f t="shared" si="10"/>
        <v>5983000000</v>
      </c>
      <c r="M110" s="63">
        <f t="shared" si="11"/>
        <v>5563000000</v>
      </c>
      <c r="N110" s="96">
        <f t="shared" si="12"/>
        <v>5956000000</v>
      </c>
    </row>
    <row r="111" spans="1:14" x14ac:dyDescent="0.35">
      <c r="A111" t="s">
        <v>408</v>
      </c>
      <c r="B111" s="20">
        <v>-1232000000</v>
      </c>
      <c r="C111" s="20">
        <v>-1312000000</v>
      </c>
      <c r="D111" s="20">
        <v>-2023000000</v>
      </c>
      <c r="E111" s="20">
        <v>-1984000000</v>
      </c>
      <c r="F111" s="20">
        <v>-2235000000</v>
      </c>
      <c r="I111" s="95" t="str">
        <f t="shared" si="7"/>
        <v xml:space="preserve">    Operating Lease - Interests Charges and Other Adjustments</v>
      </c>
      <c r="J111" s="63">
        <f t="shared" si="8"/>
        <v>-1232000000</v>
      </c>
      <c r="K111" s="63">
        <f t="shared" si="9"/>
        <v>-1312000000</v>
      </c>
      <c r="L111" s="63">
        <f t="shared" si="10"/>
        <v>-2023000000</v>
      </c>
      <c r="M111" s="63">
        <f t="shared" si="11"/>
        <v>-1984000000</v>
      </c>
      <c r="N111" s="96">
        <f t="shared" si="12"/>
        <v>-2235000000</v>
      </c>
    </row>
    <row r="112" spans="1:14" x14ac:dyDescent="0.35">
      <c r="A112" t="s">
        <v>409</v>
      </c>
      <c r="B112" s="20">
        <v>11803000000</v>
      </c>
      <c r="C112" s="20">
        <v>12411000000</v>
      </c>
      <c r="D112" s="20">
        <v>12842000000</v>
      </c>
      <c r="E112" s="20">
        <v>12430000000</v>
      </c>
      <c r="F112" s="20">
        <v>13720000000</v>
      </c>
      <c r="I112" s="95" t="str">
        <f t="shared" si="7"/>
        <v>Total Lease Liability</v>
      </c>
      <c r="J112" s="63">
        <f t="shared" si="8"/>
        <v>11803000000</v>
      </c>
      <c r="K112" s="63">
        <f t="shared" si="9"/>
        <v>12411000000</v>
      </c>
      <c r="L112" s="63">
        <f t="shared" si="10"/>
        <v>12842000000</v>
      </c>
      <c r="M112" s="63">
        <f t="shared" si="11"/>
        <v>12430000000</v>
      </c>
      <c r="N112" s="96">
        <f t="shared" si="12"/>
        <v>13720000000</v>
      </c>
    </row>
    <row r="113" spans="1:14" x14ac:dyDescent="0.35">
      <c r="A113" t="s">
        <v>410</v>
      </c>
      <c r="B113" s="20">
        <v>1733000000</v>
      </c>
      <c r="C113" s="20">
        <v>1913000000</v>
      </c>
      <c r="D113" s="20">
        <v>1915000000</v>
      </c>
      <c r="E113" s="20">
        <v>1991000000</v>
      </c>
      <c r="F113" s="20">
        <v>2530000000</v>
      </c>
      <c r="I113" s="95" t="str">
        <f t="shared" si="7"/>
        <v xml:space="preserve">    Total Lease Liability - Due in year 1</v>
      </c>
      <c r="J113" s="63">
        <f t="shared" si="8"/>
        <v>1733000000</v>
      </c>
      <c r="K113" s="63">
        <f t="shared" si="9"/>
        <v>1913000000</v>
      </c>
      <c r="L113" s="63">
        <f t="shared" si="10"/>
        <v>1915000000</v>
      </c>
      <c r="M113" s="63">
        <f t="shared" si="11"/>
        <v>1991000000</v>
      </c>
      <c r="N113" s="96">
        <f t="shared" si="12"/>
        <v>2530000000</v>
      </c>
    </row>
    <row r="114" spans="1:14" x14ac:dyDescent="0.35">
      <c r="A114" t="s">
        <v>411</v>
      </c>
      <c r="B114" s="20">
        <v>1683000000</v>
      </c>
      <c r="C114" s="20">
        <v>1872000000</v>
      </c>
      <c r="D114" s="20">
        <v>2026000000</v>
      </c>
      <c r="E114" s="20">
        <v>2045000000</v>
      </c>
      <c r="F114" s="20">
        <v>2061000000</v>
      </c>
      <c r="I114" s="95" t="str">
        <f t="shared" si="7"/>
        <v xml:space="preserve">    Total Lease Liability - Due in year 2</v>
      </c>
      <c r="J114" s="63">
        <f t="shared" si="8"/>
        <v>1683000000</v>
      </c>
      <c r="K114" s="63">
        <f t="shared" si="9"/>
        <v>1872000000</v>
      </c>
      <c r="L114" s="63">
        <f t="shared" si="10"/>
        <v>2026000000</v>
      </c>
      <c r="M114" s="63">
        <f t="shared" si="11"/>
        <v>2045000000</v>
      </c>
      <c r="N114" s="96">
        <f t="shared" si="12"/>
        <v>2061000000</v>
      </c>
    </row>
    <row r="115" spans="1:14" x14ac:dyDescent="0.35">
      <c r="A115" t="s">
        <v>412</v>
      </c>
      <c r="B115" s="20">
        <v>1598000000</v>
      </c>
      <c r="C115" s="20">
        <v>1758000000</v>
      </c>
      <c r="D115" s="20">
        <v>1852000000</v>
      </c>
      <c r="E115" s="20">
        <v>1733000000</v>
      </c>
      <c r="F115" s="20">
        <v>1899000000</v>
      </c>
      <c r="I115" s="95" t="str">
        <f t="shared" si="7"/>
        <v xml:space="preserve">    Total Lease Liability - Due in year 3</v>
      </c>
      <c r="J115" s="63">
        <f t="shared" si="8"/>
        <v>1598000000</v>
      </c>
      <c r="K115" s="63">
        <f t="shared" si="9"/>
        <v>1758000000</v>
      </c>
      <c r="L115" s="63">
        <f t="shared" si="10"/>
        <v>1852000000</v>
      </c>
      <c r="M115" s="63">
        <f t="shared" si="11"/>
        <v>1733000000</v>
      </c>
      <c r="N115" s="96">
        <f t="shared" si="12"/>
        <v>1899000000</v>
      </c>
    </row>
    <row r="116" spans="1:14" x14ac:dyDescent="0.35">
      <c r="A116" t="s">
        <v>413</v>
      </c>
      <c r="B116" s="20">
        <v>1297000000</v>
      </c>
      <c r="C116" s="20">
        <v>1430000000</v>
      </c>
      <c r="D116" s="20">
        <v>1403000000</v>
      </c>
      <c r="E116" s="20">
        <v>1398000000</v>
      </c>
      <c r="F116" s="20">
        <v>1633000000</v>
      </c>
      <c r="I116" s="95" t="str">
        <f t="shared" si="7"/>
        <v xml:space="preserve">    Total Lease Liability - Due in year 4</v>
      </c>
      <c r="J116" s="63">
        <f t="shared" si="8"/>
        <v>1297000000</v>
      </c>
      <c r="K116" s="63">
        <f t="shared" si="9"/>
        <v>1430000000</v>
      </c>
      <c r="L116" s="63">
        <f t="shared" si="10"/>
        <v>1403000000</v>
      </c>
      <c r="M116" s="63">
        <f t="shared" si="11"/>
        <v>1398000000</v>
      </c>
      <c r="N116" s="96">
        <f t="shared" si="12"/>
        <v>1633000000</v>
      </c>
    </row>
    <row r="117" spans="1:14" x14ac:dyDescent="0.35">
      <c r="A117" t="s">
        <v>414</v>
      </c>
      <c r="B117" s="20">
        <v>1087000000</v>
      </c>
      <c r="C117" s="20">
        <v>1177000000</v>
      </c>
      <c r="D117" s="20">
        <v>1215000000</v>
      </c>
      <c r="E117" s="20">
        <v>1223000000</v>
      </c>
      <c r="F117" s="20">
        <v>1424000000</v>
      </c>
      <c r="I117" s="95" t="str">
        <f t="shared" si="7"/>
        <v xml:space="preserve">    Total Lease Liability - Due in year 5</v>
      </c>
      <c r="J117" s="63">
        <f t="shared" si="8"/>
        <v>1087000000</v>
      </c>
      <c r="K117" s="63">
        <f t="shared" si="9"/>
        <v>1177000000</v>
      </c>
      <c r="L117" s="63">
        <f t="shared" si="10"/>
        <v>1215000000</v>
      </c>
      <c r="M117" s="63">
        <f t="shared" si="11"/>
        <v>1223000000</v>
      </c>
      <c r="N117" s="96">
        <f t="shared" si="12"/>
        <v>1424000000</v>
      </c>
    </row>
    <row r="118" spans="1:14" x14ac:dyDescent="0.35">
      <c r="A118" t="s">
        <v>415</v>
      </c>
      <c r="B118" s="20">
        <v>6055000000</v>
      </c>
      <c r="C118" s="20">
        <v>5986000000</v>
      </c>
      <c r="D118" s="20">
        <v>6855000000</v>
      </c>
      <c r="E118" s="20">
        <v>6400000000</v>
      </c>
      <c r="F118" s="20">
        <v>6757000000</v>
      </c>
      <c r="I118" s="95" t="str">
        <f t="shared" si="7"/>
        <v xml:space="preserve">    Total Lease Liability - Beyond</v>
      </c>
      <c r="J118" s="63">
        <f t="shared" si="8"/>
        <v>6055000000</v>
      </c>
      <c r="K118" s="63">
        <f t="shared" si="9"/>
        <v>5986000000</v>
      </c>
      <c r="L118" s="63">
        <f t="shared" si="10"/>
        <v>6855000000</v>
      </c>
      <c r="M118" s="63">
        <f t="shared" si="11"/>
        <v>6400000000</v>
      </c>
      <c r="N118" s="96">
        <f t="shared" si="12"/>
        <v>6757000000</v>
      </c>
    </row>
    <row r="119" spans="1:14" x14ac:dyDescent="0.35">
      <c r="A119" t="s">
        <v>416</v>
      </c>
      <c r="B119" s="20">
        <v>-1650000000</v>
      </c>
      <c r="C119" s="20">
        <v>-1725000000</v>
      </c>
      <c r="D119" s="20">
        <v>-2424000000</v>
      </c>
      <c r="E119" s="20">
        <v>-2360000000</v>
      </c>
      <c r="F119" s="20">
        <v>-2584000000</v>
      </c>
      <c r="I119" s="95" t="str">
        <f t="shared" si="7"/>
        <v xml:space="preserve">    Total Lease Liability - Interest Charges and Other Adjustments</v>
      </c>
      <c r="J119" s="63">
        <f t="shared" si="8"/>
        <v>-1650000000</v>
      </c>
      <c r="K119" s="63">
        <f t="shared" si="9"/>
        <v>-1725000000</v>
      </c>
      <c r="L119" s="63">
        <f t="shared" si="10"/>
        <v>-2424000000</v>
      </c>
      <c r="M119" s="63">
        <f t="shared" si="11"/>
        <v>-2360000000</v>
      </c>
      <c r="N119" s="96">
        <f t="shared" si="12"/>
        <v>-2584000000</v>
      </c>
    </row>
    <row r="120" spans="1:14" x14ac:dyDescent="0.35">
      <c r="A120" t="s">
        <v>417</v>
      </c>
      <c r="B120" s="20">
        <v>136522000000</v>
      </c>
      <c r="C120" s="20">
        <v>132480000000</v>
      </c>
      <c r="D120" s="20">
        <v>123930000000</v>
      </c>
      <c r="E120" s="20">
        <v>119059000000</v>
      </c>
      <c r="F120" s="20">
        <v>112377000000</v>
      </c>
      <c r="I120" s="95" t="str">
        <f t="shared" si="7"/>
        <v>Total Contractual Obligations</v>
      </c>
      <c r="J120" s="63">
        <f t="shared" si="8"/>
        <v>136522000000</v>
      </c>
      <c r="K120" s="63">
        <f t="shared" si="9"/>
        <v>132480000000</v>
      </c>
      <c r="L120" s="63">
        <f t="shared" si="10"/>
        <v>123930000000</v>
      </c>
      <c r="M120" s="63">
        <f t="shared" si="11"/>
        <v>119059000000</v>
      </c>
      <c r="N120" s="96">
        <f t="shared" si="12"/>
        <v>112377000000</v>
      </c>
    </row>
    <row r="121" spans="1:14" x14ac:dyDescent="0.35">
      <c r="A121" t="s">
        <v>418</v>
      </c>
      <c r="B121" s="20">
        <v>17316000000</v>
      </c>
      <c r="C121" s="20">
        <v>23034000000</v>
      </c>
      <c r="D121" s="20">
        <v>17843000000</v>
      </c>
      <c r="E121" s="20">
        <v>22888000000</v>
      </c>
      <c r="F121" s="20">
        <v>22902000000</v>
      </c>
      <c r="I121" s="95" t="str">
        <f t="shared" si="7"/>
        <v xml:space="preserve">    Total Contractual Obligations due in year 1</v>
      </c>
      <c r="J121" s="63">
        <f t="shared" si="8"/>
        <v>17316000000</v>
      </c>
      <c r="K121" s="63">
        <f t="shared" si="9"/>
        <v>23034000000</v>
      </c>
      <c r="L121" s="63">
        <f t="shared" si="10"/>
        <v>17843000000</v>
      </c>
      <c r="M121" s="63">
        <f t="shared" si="11"/>
        <v>22888000000</v>
      </c>
      <c r="N121" s="96">
        <f t="shared" si="12"/>
        <v>22902000000</v>
      </c>
    </row>
    <row r="122" spans="1:14" x14ac:dyDescent="0.35">
      <c r="A122" t="s">
        <v>419</v>
      </c>
      <c r="B122" s="20">
        <v>13074000000</v>
      </c>
      <c r="C122" s="20">
        <v>11782000000</v>
      </c>
      <c r="D122" s="20">
        <v>12801000000</v>
      </c>
      <c r="E122" s="20">
        <v>14387000000</v>
      </c>
      <c r="F122" s="20">
        <v>12139000000</v>
      </c>
      <c r="I122" s="95" t="str">
        <f t="shared" si="7"/>
        <v xml:space="preserve">    Total Contractual Obligations due in year 2</v>
      </c>
      <c r="J122" s="63">
        <f t="shared" si="8"/>
        <v>13074000000</v>
      </c>
      <c r="K122" s="63">
        <f t="shared" si="9"/>
        <v>11782000000</v>
      </c>
      <c r="L122" s="63">
        <f t="shared" si="10"/>
        <v>12801000000</v>
      </c>
      <c r="M122" s="63">
        <f t="shared" si="11"/>
        <v>14387000000</v>
      </c>
      <c r="N122" s="96">
        <f t="shared" si="12"/>
        <v>12139000000</v>
      </c>
    </row>
    <row r="123" spans="1:14" x14ac:dyDescent="0.35">
      <c r="A123" t="s">
        <v>420</v>
      </c>
      <c r="B123" s="20">
        <v>11800000000</v>
      </c>
      <c r="C123" s="20">
        <v>12403000000</v>
      </c>
      <c r="D123" s="20">
        <v>14117000000</v>
      </c>
      <c r="E123" s="20">
        <v>11669000000</v>
      </c>
      <c r="F123" s="20">
        <v>11199000000</v>
      </c>
      <c r="I123" s="95" t="str">
        <f t="shared" si="7"/>
        <v xml:space="preserve">    Total Contractual Obligations due in year 3</v>
      </c>
      <c r="J123" s="63">
        <f t="shared" si="8"/>
        <v>11800000000</v>
      </c>
      <c r="K123" s="63">
        <f t="shared" si="9"/>
        <v>12403000000</v>
      </c>
      <c r="L123" s="63">
        <f t="shared" si="10"/>
        <v>14117000000</v>
      </c>
      <c r="M123" s="63">
        <f t="shared" si="11"/>
        <v>11669000000</v>
      </c>
      <c r="N123" s="96">
        <f t="shared" si="12"/>
        <v>11199000000</v>
      </c>
    </row>
    <row r="124" spans="1:14" x14ac:dyDescent="0.35">
      <c r="A124" t="s">
        <v>421</v>
      </c>
      <c r="B124" s="20">
        <v>12211000000</v>
      </c>
      <c r="C124" s="20">
        <v>12639000000</v>
      </c>
      <c r="D124" s="20">
        <v>11189000000</v>
      </c>
      <c r="E124" s="20">
        <v>9198000000</v>
      </c>
      <c r="F124" s="20">
        <v>6868000000</v>
      </c>
      <c r="I124" s="95" t="str">
        <f t="shared" si="7"/>
        <v xml:space="preserve">    Total Contractual Obligations due in year 4</v>
      </c>
      <c r="J124" s="63">
        <f t="shared" si="8"/>
        <v>12211000000</v>
      </c>
      <c r="K124" s="63">
        <f t="shared" si="9"/>
        <v>12639000000</v>
      </c>
      <c r="L124" s="63">
        <f t="shared" si="10"/>
        <v>11189000000</v>
      </c>
      <c r="M124" s="63">
        <f t="shared" si="11"/>
        <v>9198000000</v>
      </c>
      <c r="N124" s="96">
        <f t="shared" si="12"/>
        <v>6868000000</v>
      </c>
    </row>
    <row r="125" spans="1:14" x14ac:dyDescent="0.35">
      <c r="A125" t="s">
        <v>422</v>
      </c>
      <c r="B125" s="20">
        <v>12495000000</v>
      </c>
      <c r="C125" s="20">
        <v>10808000000</v>
      </c>
      <c r="D125" s="20">
        <v>9015000000</v>
      </c>
      <c r="E125" s="20">
        <v>6376000000</v>
      </c>
      <c r="F125" s="20">
        <v>6396000000</v>
      </c>
      <c r="I125" s="95" t="str">
        <f t="shared" si="7"/>
        <v xml:space="preserve">    Total Contractual Obligations due in year 5</v>
      </c>
      <c r="J125" s="63">
        <f t="shared" si="8"/>
        <v>12495000000</v>
      </c>
      <c r="K125" s="63">
        <f t="shared" si="9"/>
        <v>10808000000</v>
      </c>
      <c r="L125" s="63">
        <f t="shared" si="10"/>
        <v>9015000000</v>
      </c>
      <c r="M125" s="63">
        <f t="shared" si="11"/>
        <v>6376000000</v>
      </c>
      <c r="N125" s="96">
        <f t="shared" si="12"/>
        <v>6396000000</v>
      </c>
    </row>
    <row r="126" spans="1:14" x14ac:dyDescent="0.35">
      <c r="A126" t="s">
        <v>423</v>
      </c>
      <c r="B126" s="20">
        <v>70620000000</v>
      </c>
      <c r="C126" s="20">
        <v>65276000000</v>
      </c>
      <c r="D126" s="20">
        <v>62858000000</v>
      </c>
      <c r="E126" s="20">
        <v>57580000000</v>
      </c>
      <c r="F126" s="20">
        <v>56060000000</v>
      </c>
      <c r="I126" s="95" t="str">
        <f t="shared" si="7"/>
        <v xml:space="preserve">    Total Contractual Obligations due Beyond</v>
      </c>
      <c r="J126" s="63">
        <f t="shared" si="8"/>
        <v>70620000000</v>
      </c>
      <c r="K126" s="63">
        <f t="shared" si="9"/>
        <v>65276000000</v>
      </c>
      <c r="L126" s="63">
        <f t="shared" si="10"/>
        <v>62858000000</v>
      </c>
      <c r="M126" s="63">
        <f t="shared" si="11"/>
        <v>57580000000</v>
      </c>
      <c r="N126" s="96">
        <f t="shared" si="12"/>
        <v>56060000000</v>
      </c>
    </row>
    <row r="127" spans="1:14" x14ac:dyDescent="0.35">
      <c r="A127" t="s">
        <v>424</v>
      </c>
      <c r="B127" s="20">
        <v>-994000000</v>
      </c>
      <c r="C127" s="20">
        <v>-3462000000</v>
      </c>
      <c r="D127" s="20">
        <v>-3893000000</v>
      </c>
      <c r="E127" s="20">
        <v>-3039000000</v>
      </c>
      <c r="F127" s="20">
        <v>-3187000000</v>
      </c>
      <c r="I127" s="95" t="str">
        <f t="shared" si="7"/>
        <v xml:space="preserve">    Total Contractual Obligations - Interests Charges and Other Adjustments</v>
      </c>
      <c r="J127" s="63">
        <f t="shared" si="8"/>
        <v>-994000000</v>
      </c>
      <c r="K127" s="63">
        <f t="shared" si="9"/>
        <v>-3462000000</v>
      </c>
      <c r="L127" s="63">
        <f t="shared" si="10"/>
        <v>-3893000000</v>
      </c>
      <c r="M127" s="63">
        <f t="shared" si="11"/>
        <v>-3039000000</v>
      </c>
      <c r="N127" s="96">
        <f t="shared" si="12"/>
        <v>-3187000000</v>
      </c>
    </row>
    <row r="128" spans="1:14" x14ac:dyDescent="0.35">
      <c r="A128" t="s">
        <v>425</v>
      </c>
      <c r="B128" t="s">
        <v>192</v>
      </c>
      <c r="C128" t="s">
        <v>192</v>
      </c>
      <c r="D128" t="s">
        <v>192</v>
      </c>
      <c r="E128" t="s">
        <v>192</v>
      </c>
      <c r="F128" t="s">
        <v>192</v>
      </c>
      <c r="I128" s="95" t="str">
        <f t="shared" si="7"/>
        <v>Other Contractual Obligations Maturity Schedule Total</v>
      </c>
      <c r="J128" s="74" t="str">
        <f t="shared" si="8"/>
        <v/>
      </c>
      <c r="K128" s="74" t="str">
        <f t="shared" si="9"/>
        <v/>
      </c>
      <c r="L128" s="74" t="str">
        <f t="shared" si="10"/>
        <v/>
      </c>
      <c r="M128" s="74" t="str">
        <f t="shared" si="11"/>
        <v/>
      </c>
      <c r="N128" s="109" t="str">
        <f t="shared" si="12"/>
        <v/>
      </c>
    </row>
    <row r="129" spans="1:14" x14ac:dyDescent="0.35">
      <c r="A129" t="s">
        <v>426</v>
      </c>
      <c r="B129" t="s">
        <v>192</v>
      </c>
      <c r="C129" t="s">
        <v>192</v>
      </c>
      <c r="D129" t="s">
        <v>192</v>
      </c>
      <c r="E129" t="s">
        <v>192</v>
      </c>
      <c r="F129" t="s">
        <v>192</v>
      </c>
      <c r="I129" s="95" t="str">
        <f t="shared" si="7"/>
        <v xml:space="preserve">    Other Contractual Obligations due in Year 1</v>
      </c>
      <c r="J129" s="74" t="str">
        <f t="shared" si="8"/>
        <v/>
      </c>
      <c r="K129" s="74" t="str">
        <f t="shared" si="9"/>
        <v/>
      </c>
      <c r="L129" s="74" t="str">
        <f t="shared" si="10"/>
        <v/>
      </c>
      <c r="M129" s="74" t="str">
        <f t="shared" si="11"/>
        <v/>
      </c>
      <c r="N129" s="109" t="str">
        <f t="shared" si="12"/>
        <v/>
      </c>
    </row>
    <row r="130" spans="1:14" x14ac:dyDescent="0.35">
      <c r="A130" t="s">
        <v>427</v>
      </c>
      <c r="B130" t="s">
        <v>192</v>
      </c>
      <c r="C130" t="s">
        <v>192</v>
      </c>
      <c r="D130" t="s">
        <v>192</v>
      </c>
      <c r="E130" t="s">
        <v>192</v>
      </c>
      <c r="F130" t="s">
        <v>192</v>
      </c>
      <c r="I130" s="95" t="str">
        <f t="shared" si="7"/>
        <v xml:space="preserve">    Other Contractual Obligations due in Year 3</v>
      </c>
      <c r="J130" s="74" t="str">
        <f t="shared" si="8"/>
        <v/>
      </c>
      <c r="K130" s="74" t="str">
        <f t="shared" si="9"/>
        <v/>
      </c>
      <c r="L130" s="74" t="str">
        <f t="shared" si="10"/>
        <v/>
      </c>
      <c r="M130" s="74" t="str">
        <f t="shared" si="11"/>
        <v/>
      </c>
      <c r="N130" s="109" t="str">
        <f t="shared" si="12"/>
        <v/>
      </c>
    </row>
    <row r="131" spans="1:14" x14ac:dyDescent="0.35">
      <c r="A131" t="s">
        <v>428</v>
      </c>
      <c r="B131" t="s">
        <v>192</v>
      </c>
      <c r="C131" t="s">
        <v>192</v>
      </c>
      <c r="D131" t="s">
        <v>192</v>
      </c>
      <c r="E131" t="s">
        <v>192</v>
      </c>
      <c r="F131" t="s">
        <v>192</v>
      </c>
      <c r="I131" s="95" t="str">
        <f t="shared" si="7"/>
        <v xml:space="preserve">    Other Contractual Obligations due in Year 5</v>
      </c>
      <c r="J131" s="74" t="str">
        <f t="shared" si="8"/>
        <v/>
      </c>
      <c r="K131" s="74" t="str">
        <f t="shared" si="9"/>
        <v/>
      </c>
      <c r="L131" s="74" t="str">
        <f t="shared" si="10"/>
        <v/>
      </c>
      <c r="M131" s="74" t="str">
        <f t="shared" si="11"/>
        <v/>
      </c>
      <c r="N131" s="109" t="str">
        <f t="shared" si="12"/>
        <v/>
      </c>
    </row>
    <row r="132" spans="1:14" x14ac:dyDescent="0.35">
      <c r="A132" t="s">
        <v>429</v>
      </c>
      <c r="B132" t="s">
        <v>192</v>
      </c>
      <c r="C132" t="s">
        <v>192</v>
      </c>
      <c r="D132" t="s">
        <v>192</v>
      </c>
      <c r="E132" t="s">
        <v>192</v>
      </c>
      <c r="F132" t="s">
        <v>192</v>
      </c>
      <c r="I132" s="95" t="str">
        <f t="shared" ref="I132:I133" si="13">A132</f>
        <v xml:space="preserve">    Other Contractual Obligations due Beyond</v>
      </c>
      <c r="J132" s="74" t="str">
        <f t="shared" si="8"/>
        <v/>
      </c>
      <c r="K132" s="74" t="str">
        <f t="shared" si="9"/>
        <v/>
      </c>
      <c r="L132" s="74" t="str">
        <f t="shared" si="10"/>
        <v/>
      </c>
      <c r="M132" s="74" t="str">
        <f t="shared" si="11"/>
        <v/>
      </c>
      <c r="N132" s="109" t="str">
        <f t="shared" si="12"/>
        <v/>
      </c>
    </row>
    <row r="133" spans="1:14" ht="15" thickBot="1" x14ac:dyDescent="0.4">
      <c r="A133" t="s">
        <v>220</v>
      </c>
      <c r="I133" s="105" t="str">
        <f t="shared" si="13"/>
        <v>Fiscal year ends in Sep 30 | USD</v>
      </c>
      <c r="J133" s="139">
        <f t="shared" si="8"/>
        <v>0</v>
      </c>
      <c r="K133" s="139">
        <f t="shared" si="9"/>
        <v>0</v>
      </c>
      <c r="L133" s="139">
        <f t="shared" si="10"/>
        <v>0</v>
      </c>
      <c r="M133" s="139">
        <f t="shared" si="11"/>
        <v>0</v>
      </c>
      <c r="N133" s="140">
        <f t="shared" si="12"/>
        <v>0</v>
      </c>
    </row>
  </sheetData>
  <mergeCells count="2">
    <mergeCell ref="A1:G1"/>
    <mergeCell ref="I1:O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>
    <tabColor theme="8" tint="0.39997558519241921"/>
    <pageSetUpPr fitToPage="1"/>
  </sheetPr>
  <dimension ref="A1:G59"/>
  <sheetViews>
    <sheetView showGridLines="0" zoomScaleNormal="100" workbookViewId="0">
      <pane xSplit="2" ySplit="4" topLeftCell="C5" activePane="bottomRight" state="frozen"/>
      <selection activeCell="C23" sqref="C23"/>
      <selection pane="topRight" activeCell="C23" sqref="C23"/>
      <selection pane="bottomLeft" activeCell="C23" sqref="C23"/>
      <selection pane="bottomRight" activeCell="A5" sqref="A5"/>
    </sheetView>
  </sheetViews>
  <sheetFormatPr defaultColWidth="8.6328125" defaultRowHeight="14.5" x14ac:dyDescent="0.35"/>
  <cols>
    <col min="1" max="1" width="2" customWidth="1"/>
    <col min="2" max="2" width="61.36328125" bestFit="1" customWidth="1"/>
    <col min="3" max="7" width="14" customWidth="1"/>
  </cols>
  <sheetData>
    <row r="1" spans="1:7" ht="30" customHeight="1" x14ac:dyDescent="0.35">
      <c r="A1" s="1"/>
      <c r="B1" s="370" t="s">
        <v>122</v>
      </c>
      <c r="C1" s="370"/>
      <c r="D1" s="370"/>
      <c r="E1" s="370"/>
      <c r="F1" s="370"/>
      <c r="G1" s="370"/>
    </row>
    <row r="2" spans="1:7" ht="21.75" customHeight="1" x14ac:dyDescent="0.35">
      <c r="A2" s="2"/>
      <c r="B2" s="371" t="s">
        <v>123</v>
      </c>
      <c r="C2" s="371"/>
      <c r="D2" s="371"/>
      <c r="E2" s="371"/>
      <c r="F2" s="371"/>
      <c r="G2" s="371"/>
    </row>
    <row r="3" spans="1:7" ht="18" customHeight="1" x14ac:dyDescent="0.35"/>
    <row r="4" spans="1:7" ht="19.5" customHeight="1" x14ac:dyDescent="0.35"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173</v>
      </c>
    </row>
    <row r="5" spans="1:7" ht="7.5" customHeight="1" x14ac:dyDescent="0.35">
      <c r="B5" s="5"/>
      <c r="C5" s="5"/>
      <c r="D5" s="5"/>
      <c r="E5" s="5"/>
      <c r="F5" s="5"/>
      <c r="G5" s="5"/>
    </row>
    <row r="6" spans="1:7" ht="18" customHeight="1" x14ac:dyDescent="0.35">
      <c r="B6" s="6" t="s">
        <v>124</v>
      </c>
      <c r="C6" s="7"/>
      <c r="D6" s="7"/>
      <c r="E6" s="7"/>
      <c r="F6" s="7"/>
      <c r="G6" s="7"/>
    </row>
    <row r="7" spans="1:7" ht="15.75" customHeight="1" x14ac:dyDescent="0.35">
      <c r="B7" s="10" t="s">
        <v>125</v>
      </c>
      <c r="C7" s="149">
        <f>'Income Statement'!C10</f>
        <v>365817000000</v>
      </c>
      <c r="D7" s="149">
        <f>'Income Statement'!D10</f>
        <v>394328000000</v>
      </c>
      <c r="E7" s="149">
        <f>'Income Statement'!E10</f>
        <v>383285000000</v>
      </c>
      <c r="F7" s="149">
        <f>'Income Statement'!F10</f>
        <v>391035000000</v>
      </c>
      <c r="G7" s="149">
        <f>'Income Statement'!G10</f>
        <v>416161000000</v>
      </c>
    </row>
    <row r="8" spans="1:7" ht="15.75" customHeight="1" x14ac:dyDescent="0.35">
      <c r="B8" s="8" t="s">
        <v>126</v>
      </c>
      <c r="C8" s="150">
        <f>'Income Statement'!C21</f>
        <v>152836000000</v>
      </c>
      <c r="D8" s="150">
        <f>'Income Statement'!D21</f>
        <v>170782000000</v>
      </c>
      <c r="E8" s="150">
        <f>'Income Statement'!E21</f>
        <v>169148000000</v>
      </c>
      <c r="F8" s="150">
        <f>'Income Statement'!F21</f>
        <v>180683000000</v>
      </c>
      <c r="G8" s="150">
        <f>'Income Statement'!G21</f>
        <v>195201000000</v>
      </c>
    </row>
    <row r="9" spans="1:7" ht="15.75" customHeight="1" x14ac:dyDescent="0.35">
      <c r="B9" s="10" t="s">
        <v>127</v>
      </c>
      <c r="C9" s="149">
        <f>'Income Statement'!C56</f>
        <v>108949000000</v>
      </c>
      <c r="D9" s="149">
        <f>'Income Statement'!D56</f>
        <v>119437000000</v>
      </c>
      <c r="E9" s="149">
        <f>'Income Statement'!E56</f>
        <v>114301000000</v>
      </c>
      <c r="F9" s="149">
        <f>'Income Statement'!F56</f>
        <v>123216000000</v>
      </c>
      <c r="G9" s="149">
        <f>'Income Statement'!G56</f>
        <v>133050000000</v>
      </c>
    </row>
    <row r="10" spans="1:7" ht="15.75" customHeight="1" x14ac:dyDescent="0.35">
      <c r="B10" s="8" t="s">
        <v>128</v>
      </c>
      <c r="C10" s="150">
        <f>'Income Statement'!C34</f>
        <v>108949000000</v>
      </c>
      <c r="D10" s="150">
        <f>'Income Statement'!D34</f>
        <v>119437000000</v>
      </c>
      <c r="E10" s="150">
        <f>'Income Statement'!E34</f>
        <v>114301000000</v>
      </c>
      <c r="F10" s="150">
        <f>'Income Statement'!F34</f>
        <v>123216000000</v>
      </c>
      <c r="G10" s="150">
        <f>'Income Statement'!G34</f>
        <v>133050000000</v>
      </c>
    </row>
    <row r="11" spans="1:7" ht="15.75" customHeight="1" x14ac:dyDescent="0.35">
      <c r="B11" s="10" t="s">
        <v>129</v>
      </c>
      <c r="C11" s="149">
        <f>'Income Statement'!C49</f>
        <v>94680000000</v>
      </c>
      <c r="D11" s="149">
        <f>'Income Statement'!D49</f>
        <v>99803000000</v>
      </c>
      <c r="E11" s="149">
        <f>'Income Statement'!E49</f>
        <v>96995000000</v>
      </c>
      <c r="F11" s="149">
        <f>'Income Statement'!F49</f>
        <v>93736000000</v>
      </c>
      <c r="G11" s="149">
        <f>'Income Statement'!G49</f>
        <v>112010000000</v>
      </c>
    </row>
    <row r="12" spans="1:7" ht="6" customHeight="1" x14ac:dyDescent="0.35">
      <c r="B12" s="5"/>
      <c r="C12" s="43"/>
      <c r="D12" s="43"/>
      <c r="E12" s="43"/>
      <c r="F12" s="43"/>
      <c r="G12" s="43"/>
    </row>
    <row r="13" spans="1:7" ht="18" customHeight="1" x14ac:dyDescent="0.35">
      <c r="B13" s="6" t="s">
        <v>130</v>
      </c>
      <c r="C13" s="44"/>
      <c r="D13" s="44"/>
      <c r="E13" s="44"/>
      <c r="F13" s="44"/>
      <c r="G13" s="44"/>
    </row>
    <row r="14" spans="1:7" ht="15.75" customHeight="1" x14ac:dyDescent="0.35">
      <c r="B14" s="10" t="s">
        <v>131</v>
      </c>
      <c r="C14" s="149">
        <f>'Balance Sheet'!C14</f>
        <v>134836000000</v>
      </c>
      <c r="D14" s="149">
        <f>'Balance Sheet'!D14</f>
        <v>135405000000</v>
      </c>
      <c r="E14" s="149">
        <f>'Balance Sheet'!E14</f>
        <v>143566000000</v>
      </c>
      <c r="F14" s="149">
        <f>'Balance Sheet'!F14</f>
        <v>152987000000</v>
      </c>
      <c r="G14" s="149">
        <f>'Balance Sheet'!G14</f>
        <v>147957000000</v>
      </c>
    </row>
    <row r="15" spans="1:7" ht="15.75" customHeight="1" x14ac:dyDescent="0.35">
      <c r="B15" s="8" t="s">
        <v>132</v>
      </c>
      <c r="C15" s="150">
        <f>'Balance Sheet'!C27</f>
        <v>351002000000</v>
      </c>
      <c r="D15" s="150">
        <f>'Balance Sheet'!D27</f>
        <v>352755000000</v>
      </c>
      <c r="E15" s="150">
        <f>'Balance Sheet'!E27</f>
        <v>352583000000</v>
      </c>
      <c r="F15" s="150">
        <f>'Balance Sheet'!F27</f>
        <v>364980000000</v>
      </c>
      <c r="G15" s="150">
        <f>'Balance Sheet'!G27</f>
        <v>359241000000</v>
      </c>
    </row>
    <row r="16" spans="1:7" ht="15.75" customHeight="1" x14ac:dyDescent="0.35">
      <c r="B16" s="10" t="s">
        <v>133</v>
      </c>
      <c r="C16" s="149">
        <f>'Balance Sheet'!C36</f>
        <v>125481000000</v>
      </c>
      <c r="D16" s="149">
        <f>'Balance Sheet'!D36</f>
        <v>153982000000</v>
      </c>
      <c r="E16" s="149">
        <f>'Balance Sheet'!E36</f>
        <v>145308000000</v>
      </c>
      <c r="F16" s="149">
        <f>'Balance Sheet'!F36</f>
        <v>176392000000</v>
      </c>
      <c r="G16" s="149">
        <f>'Balance Sheet'!G36</f>
        <v>165631000000</v>
      </c>
    </row>
    <row r="17" spans="2:7" ht="15.75" customHeight="1" x14ac:dyDescent="0.35">
      <c r="B17" s="8" t="s">
        <v>134</v>
      </c>
      <c r="C17" s="150">
        <f>'Balance Sheet'!C45</f>
        <v>287912000000</v>
      </c>
      <c r="D17" s="150">
        <f>'Balance Sheet'!D45</f>
        <v>302083000000</v>
      </c>
      <c r="E17" s="150">
        <f>'Balance Sheet'!E45</f>
        <v>290437000000</v>
      </c>
      <c r="F17" s="150">
        <f>'Balance Sheet'!F45</f>
        <v>308030000000</v>
      </c>
      <c r="G17" s="150">
        <f>'Balance Sheet'!G45</f>
        <v>285508000000</v>
      </c>
    </row>
    <row r="18" spans="2:7" ht="15.75" customHeight="1" x14ac:dyDescent="0.35">
      <c r="B18" s="10" t="s">
        <v>135</v>
      </c>
      <c r="C18" s="149">
        <f>'Balance Sheet'!C53</f>
        <v>63090000000</v>
      </c>
      <c r="D18" s="149">
        <f>'Balance Sheet'!D53</f>
        <v>50672000000</v>
      </c>
      <c r="E18" s="149">
        <f>'Balance Sheet'!E53</f>
        <v>62146000000</v>
      </c>
      <c r="F18" s="149">
        <f>'Balance Sheet'!F53</f>
        <v>56950000000</v>
      </c>
      <c r="G18" s="149">
        <f>'Balance Sheet'!G53</f>
        <v>73733000000</v>
      </c>
    </row>
    <row r="19" spans="2:7" ht="6" customHeight="1" x14ac:dyDescent="0.35">
      <c r="B19" s="5"/>
      <c r="C19" s="43"/>
      <c r="D19" s="43"/>
      <c r="E19" s="43"/>
      <c r="F19" s="43"/>
      <c r="G19" s="43"/>
    </row>
    <row r="20" spans="2:7" ht="18" customHeight="1" x14ac:dyDescent="0.35">
      <c r="B20" s="6" t="s">
        <v>136</v>
      </c>
      <c r="C20" s="44"/>
      <c r="D20" s="44"/>
      <c r="E20" s="44"/>
      <c r="F20" s="44"/>
      <c r="G20" s="44"/>
    </row>
    <row r="21" spans="2:7" ht="15.75" customHeight="1" x14ac:dyDescent="0.35">
      <c r="B21" s="10" t="s">
        <v>137</v>
      </c>
      <c r="C21" s="149">
        <f>'Cash Flow Statement'!C22</f>
        <v>104038000000</v>
      </c>
      <c r="D21" s="149">
        <f>'Cash Flow Statement'!D22</f>
        <v>122151000000</v>
      </c>
      <c r="E21" s="149">
        <f>'Cash Flow Statement'!E22</f>
        <v>110543000000</v>
      </c>
      <c r="F21" s="149">
        <f>'Cash Flow Statement'!F22</f>
        <v>118254000000</v>
      </c>
      <c r="G21" s="149">
        <f>'Cash Flow Statement'!G22</f>
        <v>111482000000</v>
      </c>
    </row>
    <row r="22" spans="2:7" ht="15.75" customHeight="1" x14ac:dyDescent="0.35">
      <c r="B22" s="8" t="s">
        <v>138</v>
      </c>
      <c r="C22" s="150">
        <f>'Cash Flow Statement'!C52</f>
        <v>-11085000000</v>
      </c>
      <c r="D22" s="150">
        <f>'Cash Flow Statement'!D52</f>
        <v>-10708000000</v>
      </c>
      <c r="E22" s="150">
        <f>'Cash Flow Statement'!E52</f>
        <v>-10959000000</v>
      </c>
      <c r="F22" s="150">
        <f>'Cash Flow Statement'!F52</f>
        <v>-9447000000</v>
      </c>
      <c r="G22" s="150">
        <f>'Cash Flow Statement'!G52</f>
        <v>-12715000000</v>
      </c>
    </row>
    <row r="23" spans="2:7" ht="15.75" customHeight="1" x14ac:dyDescent="0.35">
      <c r="B23" s="10" t="s">
        <v>139</v>
      </c>
      <c r="C23" s="149">
        <f>'Cash Flow Statement'!C53</f>
        <v>92953000000</v>
      </c>
      <c r="D23" s="149">
        <f>'Cash Flow Statement'!D53</f>
        <v>111443000000</v>
      </c>
      <c r="E23" s="149">
        <f>'Cash Flow Statement'!E53</f>
        <v>99584000000</v>
      </c>
      <c r="F23" s="149">
        <f>'Cash Flow Statement'!F53</f>
        <v>108807000000</v>
      </c>
      <c r="G23" s="149">
        <f>'Cash Flow Statement'!G53</f>
        <v>98767000000</v>
      </c>
    </row>
    <row r="24" spans="2:7" ht="6" customHeight="1" x14ac:dyDescent="0.35">
      <c r="B24" s="5"/>
      <c r="C24" s="5"/>
      <c r="D24" s="5"/>
      <c r="E24" s="5"/>
      <c r="F24" s="5"/>
      <c r="G24" s="5"/>
    </row>
    <row r="25" spans="2:7" ht="18" customHeight="1" x14ac:dyDescent="0.35">
      <c r="B25" s="6" t="s">
        <v>140</v>
      </c>
      <c r="C25" s="7"/>
      <c r="D25" s="7"/>
      <c r="E25" s="7"/>
      <c r="F25" s="7"/>
      <c r="G25" s="7"/>
    </row>
    <row r="26" spans="2:7" ht="18" customHeight="1" x14ac:dyDescent="0.35">
      <c r="B26" s="12" t="s">
        <v>141</v>
      </c>
      <c r="C26" s="7"/>
      <c r="D26" s="7"/>
      <c r="E26" s="7"/>
      <c r="F26" s="7"/>
      <c r="G26" s="7"/>
    </row>
    <row r="27" spans="2:7" ht="15.75" customHeight="1" x14ac:dyDescent="0.35">
      <c r="B27" s="10" t="s">
        <v>142</v>
      </c>
      <c r="C27" s="14">
        <f>IFERROR(C14/C16,"-")</f>
        <v>1.0745531195957954</v>
      </c>
      <c r="D27" s="14">
        <f>IFERROR(D14/D16,"-")</f>
        <v>0.87935602862672257</v>
      </c>
      <c r="E27" s="14">
        <f>IFERROR(E14/E16,"-")</f>
        <v>0.98801167175929749</v>
      </c>
      <c r="F27" s="14">
        <f>IFERROR(F14/F16,"-")</f>
        <v>0.86731257653408322</v>
      </c>
      <c r="G27" s="14">
        <f>IFERROR(G14/G16,"-")</f>
        <v>0.89329292221866674</v>
      </c>
    </row>
    <row r="28" spans="2:7" ht="15.75" customHeight="1" x14ac:dyDescent="0.35">
      <c r="B28" s="8" t="s">
        <v>143</v>
      </c>
      <c r="C28" s="15">
        <f>IFERROR((C14-'Balance Sheet'!C12)/C16,"-")</f>
        <v>1.0221149018576519</v>
      </c>
      <c r="D28" s="15">
        <f>IFERROR((D14-'Balance Sheet'!D12)/D16,"-")</f>
        <v>0.84723539114961488</v>
      </c>
      <c r="E28" s="15">
        <f>IFERROR((E14-'Balance Sheet'!E12)/E16,"-")</f>
        <v>0.94444215046659508</v>
      </c>
      <c r="F28" s="15">
        <f>IFERROR((F14-'Balance Sheet'!F12)/F16,"-")</f>
        <v>0.82600684838314664</v>
      </c>
      <c r="G28" s="15">
        <f>IFERROR((G14-'Balance Sheet'!G12)/G16,"-")</f>
        <v>0.85877039926100796</v>
      </c>
    </row>
    <row r="29" spans="2:7" ht="15.75" customHeight="1" x14ac:dyDescent="0.35">
      <c r="B29" s="10" t="s">
        <v>144</v>
      </c>
      <c r="C29" s="14">
        <f>IFERROR('Balance Sheet'!C8/C16,"-")</f>
        <v>0.27844853005634318</v>
      </c>
      <c r="D29" s="14">
        <f>IFERROR('Balance Sheet'!D8/D16,"-")</f>
        <v>0.15356340351469652</v>
      </c>
      <c r="E29" s="14">
        <f>IFERROR('Balance Sheet'!E8/E16,"-")</f>
        <v>0.20621713876730807</v>
      </c>
      <c r="F29" s="14">
        <f>IFERROR('Balance Sheet'!F8/F16,"-")</f>
        <v>0.16975259648963673</v>
      </c>
      <c r="G29" s="14">
        <f>IFERROR('Balance Sheet'!G8/G16,"-")</f>
        <v>0.21695214060169896</v>
      </c>
    </row>
    <row r="30" spans="2:7" ht="4.5" customHeight="1" x14ac:dyDescent="0.35">
      <c r="B30" s="5"/>
      <c r="C30" s="5"/>
      <c r="D30" s="5"/>
      <c r="E30" s="5"/>
      <c r="F30" s="5"/>
      <c r="G30" s="5"/>
    </row>
    <row r="31" spans="2:7" ht="18" customHeight="1" x14ac:dyDescent="0.35">
      <c r="B31" s="12" t="s">
        <v>145</v>
      </c>
      <c r="C31" s="7"/>
      <c r="D31" s="7"/>
      <c r="E31" s="7"/>
      <c r="F31" s="7"/>
      <c r="G31" s="7"/>
    </row>
    <row r="32" spans="2:7" ht="15.75" customHeight="1" x14ac:dyDescent="0.35">
      <c r="B32" s="10" t="s">
        <v>146</v>
      </c>
      <c r="C32" s="14">
        <f>IFERROR(C17/C18,"-")</f>
        <v>4.5635124425423994</v>
      </c>
      <c r="D32" s="14">
        <f>IFERROR(D17/D18,"-")</f>
        <v>5.9615369434796337</v>
      </c>
      <c r="E32" s="14">
        <f>IFERROR(E17/E18,"-")</f>
        <v>4.6734624915521517</v>
      </c>
      <c r="F32" s="14">
        <f>IFERROR(F17/F18,"-")</f>
        <v>5.408779631255487</v>
      </c>
      <c r="G32" s="14">
        <f>IFERROR(G17/G18,"-")</f>
        <v>3.8721874872852049</v>
      </c>
    </row>
    <row r="33" spans="2:7" ht="15.75" customHeight="1" x14ac:dyDescent="0.35">
      <c r="B33" s="8" t="s">
        <v>147</v>
      </c>
      <c r="C33" s="15">
        <f>IFERROR(C17/C15,"-")</f>
        <v>0.82025743443057308</v>
      </c>
      <c r="D33" s="15">
        <f>IFERROR(D17/D15,"-")</f>
        <v>0.85635355983614692</v>
      </c>
      <c r="E33" s="15">
        <f>IFERROR(E17/E15,"-")</f>
        <v>0.82374079294804348</v>
      </c>
      <c r="F33" s="15">
        <f>IFERROR(F17/F15,"-")</f>
        <v>0.84396405282481235</v>
      </c>
      <c r="G33" s="15">
        <f>IFERROR(G17/G15,"-")</f>
        <v>0.79475338282657049</v>
      </c>
    </row>
    <row r="34" spans="2:7" ht="15.75" customHeight="1" x14ac:dyDescent="0.35">
      <c r="B34" s="10" t="s">
        <v>148</v>
      </c>
      <c r="C34" s="14">
        <f>IFERROR(C15/C18,"-")</f>
        <v>5.5635124425423994</v>
      </c>
      <c r="D34" s="14">
        <f>IFERROR(D15/D18,"-")</f>
        <v>6.9615369434796337</v>
      </c>
      <c r="E34" s="14">
        <f>IFERROR(E15/E18,"-")</f>
        <v>5.6734624915521517</v>
      </c>
      <c r="F34" s="14">
        <f>IFERROR(F15/F18,"-")</f>
        <v>6.408779631255487</v>
      </c>
      <c r="G34" s="14">
        <f>IFERROR(G15/G18,"-")</f>
        <v>4.8721874872852045</v>
      </c>
    </row>
    <row r="35" spans="2:7" ht="15.75" customHeight="1" x14ac:dyDescent="0.35">
      <c r="B35" s="8" t="s">
        <v>149</v>
      </c>
      <c r="C35" s="16">
        <f>C17-C14</f>
        <v>153076000000</v>
      </c>
      <c r="D35" s="16">
        <f>D17-D14</f>
        <v>166678000000</v>
      </c>
      <c r="E35" s="16">
        <f>E17-E14</f>
        <v>146871000000</v>
      </c>
      <c r="F35" s="16">
        <f>F17-F14</f>
        <v>155043000000</v>
      </c>
      <c r="G35" s="16">
        <f>G17-G14</f>
        <v>137551000000</v>
      </c>
    </row>
    <row r="36" spans="2:7" ht="15.75" customHeight="1" x14ac:dyDescent="0.35">
      <c r="B36" s="10" t="s">
        <v>150</v>
      </c>
      <c r="C36" s="14">
        <f>IFERROR((C17-C14)/C9,"-")</f>
        <v>1.405024369200268</v>
      </c>
      <c r="D36" s="14">
        <f>IFERROR((D17-D14)/D9,"-")</f>
        <v>1.3955306981923525</v>
      </c>
      <c r="E36" s="14">
        <f>IFERROR((E17-E14)/E9,"-")</f>
        <v>1.2849493880193523</v>
      </c>
      <c r="F36" s="14">
        <f>IFERROR((F17-F14)/F9,"-")</f>
        <v>1.2583024931827036</v>
      </c>
      <c r="G36" s="14">
        <f>IFERROR((G17-G14)/G9,"-")</f>
        <v>1.0338293874483278</v>
      </c>
    </row>
    <row r="37" spans="2:7" ht="4.5" customHeight="1" x14ac:dyDescent="0.35">
      <c r="B37" s="5"/>
      <c r="C37" s="5"/>
      <c r="D37" s="5"/>
      <c r="E37" s="5"/>
      <c r="F37" s="5"/>
      <c r="G37" s="5"/>
    </row>
    <row r="38" spans="2:7" ht="18" customHeight="1" x14ac:dyDescent="0.35">
      <c r="B38" s="12" t="s">
        <v>151</v>
      </c>
      <c r="C38" s="7"/>
      <c r="D38" s="7"/>
      <c r="E38" s="7"/>
      <c r="F38" s="7"/>
      <c r="G38" s="7"/>
    </row>
    <row r="39" spans="2:7" ht="15.75" customHeight="1" x14ac:dyDescent="0.35">
      <c r="B39" s="10" t="s">
        <v>152</v>
      </c>
      <c r="C39" s="17">
        <f>IFERROR(C8/C7,"-")</f>
        <v>0.41779359625167778</v>
      </c>
      <c r="D39" s="17">
        <f>IFERROR(D8/D7,"-")</f>
        <v>0.43309630561360085</v>
      </c>
      <c r="E39" s="17">
        <f>IFERROR(E8/E7,"-")</f>
        <v>0.44131129577207562</v>
      </c>
      <c r="F39" s="17">
        <f>IFERROR(F8/F7,"-")</f>
        <v>0.46206349815233932</v>
      </c>
      <c r="G39" s="17">
        <f>IFERROR(G8/G7,"-")</f>
        <v>0.46905164107160452</v>
      </c>
    </row>
    <row r="40" spans="2:7" ht="15.75" customHeight="1" x14ac:dyDescent="0.35">
      <c r="B40" s="8" t="s">
        <v>153</v>
      </c>
      <c r="C40" s="18">
        <f>IFERROR(C9/C7,"-")</f>
        <v>0.29782377527561593</v>
      </c>
      <c r="D40" s="18">
        <f>IFERROR(D9/D7,"-")</f>
        <v>0.30288744395528594</v>
      </c>
      <c r="E40" s="18">
        <f>IFERROR(E9/E7,"-")</f>
        <v>0.29821412265024722</v>
      </c>
      <c r="F40" s="18">
        <f>IFERROR(F9/F7,"-")</f>
        <v>0.31510222870075566</v>
      </c>
      <c r="G40" s="18">
        <f>IFERROR(G9/G7,"-")</f>
        <v>0.31970799762591884</v>
      </c>
    </row>
    <row r="41" spans="2:7" ht="15.75" customHeight="1" x14ac:dyDescent="0.35">
      <c r="B41" s="10" t="s">
        <v>154</v>
      </c>
      <c r="C41" s="17">
        <f>IFERROR(C10/C7,"-")</f>
        <v>0.29782377527561593</v>
      </c>
      <c r="D41" s="17">
        <f>IFERROR(D10/D7,"-")</f>
        <v>0.30288744395528594</v>
      </c>
      <c r="E41" s="17">
        <f>IFERROR(E10/E7,"-")</f>
        <v>0.29821412265024722</v>
      </c>
      <c r="F41" s="17">
        <f>IFERROR(F10/F7,"-")</f>
        <v>0.31510222870075566</v>
      </c>
      <c r="G41" s="17">
        <f>IFERROR(G10/G7,"-")</f>
        <v>0.31970799762591884</v>
      </c>
    </row>
    <row r="42" spans="2:7" ht="15.75" customHeight="1" x14ac:dyDescent="0.35">
      <c r="B42" s="8" t="s">
        <v>155</v>
      </c>
      <c r="C42" s="18">
        <f>IFERROR(C11/C7,"-")</f>
        <v>0.25881793355694238</v>
      </c>
      <c r="D42" s="18">
        <f>IFERROR(D11/D7,"-")</f>
        <v>0.25309640705199732</v>
      </c>
      <c r="E42" s="18">
        <f>IFERROR(E11/E7,"-")</f>
        <v>0.25306234264320282</v>
      </c>
      <c r="F42" s="18">
        <f>IFERROR(F11/F7,"-")</f>
        <v>0.23971255769943867</v>
      </c>
      <c r="G42" s="18">
        <f>IFERROR(G11/G7,"-")</f>
        <v>0.26915064121818238</v>
      </c>
    </row>
    <row r="43" spans="2:7" ht="15.75" customHeight="1" x14ac:dyDescent="0.35">
      <c r="B43" s="10" t="s">
        <v>156</v>
      </c>
      <c r="C43" s="17">
        <f>IFERROR(C23/C7,"-")</f>
        <v>0.25409699385211731</v>
      </c>
      <c r="D43" s="17">
        <f>IFERROR(D23/D7,"-")</f>
        <v>0.28261498042238947</v>
      </c>
      <c r="E43" s="17">
        <f>IFERROR(E23/E7,"-")</f>
        <v>0.25981710737440805</v>
      </c>
      <c r="F43" s="17">
        <f>IFERROR(F23/F7,"-")</f>
        <v>0.27825386474356517</v>
      </c>
      <c r="G43" s="17">
        <f>IFERROR(G23/G7,"-")</f>
        <v>0.23732882225869315</v>
      </c>
    </row>
    <row r="44" spans="2:7" ht="4.5" customHeight="1" x14ac:dyDescent="0.35">
      <c r="B44" s="5"/>
      <c r="C44" s="5"/>
      <c r="D44" s="5"/>
      <c r="E44" s="5"/>
      <c r="F44" s="5"/>
      <c r="G44" s="5"/>
    </row>
    <row r="45" spans="2:7" ht="18" customHeight="1" x14ac:dyDescent="0.35">
      <c r="B45" s="12" t="s">
        <v>157</v>
      </c>
      <c r="C45" s="7"/>
      <c r="D45" s="7"/>
      <c r="E45" s="7"/>
      <c r="F45" s="7"/>
      <c r="G45" s="7"/>
    </row>
    <row r="46" spans="2:7" ht="15.75" customHeight="1" x14ac:dyDescent="0.35">
      <c r="B46" s="10" t="s">
        <v>158</v>
      </c>
      <c r="C46" s="17">
        <f>IFERROR(C11/C18,"-")</f>
        <v>1.5007132667617689</v>
      </c>
      <c r="D46" s="17">
        <f>IFERROR(D11/D18,"-")</f>
        <v>1.9695887275023682</v>
      </c>
      <c r="E46" s="17">
        <f>IFERROR(E11/E18,"-")</f>
        <v>1.5607601454639075</v>
      </c>
      <c r="F46" s="17">
        <f>IFERROR(F11/F18,"-")</f>
        <v>1.6459350307287095</v>
      </c>
      <c r="G46" s="17">
        <f>IFERROR(G11/G18,"-")</f>
        <v>1.5191298333175105</v>
      </c>
    </row>
    <row r="47" spans="2:7" ht="15.75" customHeight="1" x14ac:dyDescent="0.35">
      <c r="B47" s="8" t="s">
        <v>159</v>
      </c>
      <c r="C47" s="18">
        <f>IFERROR(C11/C15,"-")</f>
        <v>0.26974205275183616</v>
      </c>
      <c r="D47" s="18">
        <f>IFERROR(D11/D15,"-")</f>
        <v>0.28292440929256851</v>
      </c>
      <c r="E47" s="18">
        <f>IFERROR(E11/E15,"-")</f>
        <v>0.27509834563776475</v>
      </c>
      <c r="F47" s="18">
        <f>IFERROR(F11/F15,"-")</f>
        <v>0.25682503150857583</v>
      </c>
      <c r="G47" s="18">
        <f>IFERROR(G11/G15,"-")</f>
        <v>0.31179625933565491</v>
      </c>
    </row>
    <row r="48" spans="2:7" ht="15.75" customHeight="1" x14ac:dyDescent="0.35">
      <c r="B48" s="10" t="s">
        <v>160</v>
      </c>
      <c r="C48" s="17">
        <f>IFERROR(C10/(C15-C16),"-")</f>
        <v>0.48309913489209433</v>
      </c>
      <c r="D48" s="17">
        <f>IFERROR(D10/(D15-D16),"-")</f>
        <v>0.60087134570590572</v>
      </c>
      <c r="E48" s="17">
        <f>IFERROR(E10/(E15-E16),"-")</f>
        <v>0.55144614642383305</v>
      </c>
      <c r="F48" s="17">
        <f>IFERROR(F10/(F15-F16),"-")</f>
        <v>0.65336076526608267</v>
      </c>
      <c r="G48" s="17">
        <f>IFERROR(G10/(G15-G16),"-")</f>
        <v>0.6872062393471412</v>
      </c>
    </row>
    <row r="49" spans="2:7" ht="15.75" customHeight="1" x14ac:dyDescent="0.35">
      <c r="B49" s="8" t="s">
        <v>161</v>
      </c>
      <c r="C49" s="18">
        <f>IFERROR(C10/(C15-C16),"-")</f>
        <v>0.48309913489209433</v>
      </c>
      <c r="D49" s="18">
        <f>IFERROR(D10/(D15-D16),"-")</f>
        <v>0.60087134570590572</v>
      </c>
      <c r="E49" s="18">
        <f>IFERROR(E10/(E15-E16),"-")</f>
        <v>0.55144614642383305</v>
      </c>
      <c r="F49" s="18">
        <f>IFERROR(F10/(F15-F16),"-")</f>
        <v>0.65336076526608267</v>
      </c>
      <c r="G49" s="18">
        <f>IFERROR(G10/(G15-G16),"-")</f>
        <v>0.6872062393471412</v>
      </c>
    </row>
    <row r="50" spans="2:7" ht="4.5" customHeight="1" x14ac:dyDescent="0.35">
      <c r="B50" s="5"/>
      <c r="C50" s="5"/>
      <c r="D50" s="5"/>
      <c r="E50" s="5"/>
      <c r="F50" s="5"/>
      <c r="G50" s="5"/>
    </row>
    <row r="51" spans="2:7" ht="18" customHeight="1" x14ac:dyDescent="0.35">
      <c r="B51" s="12" t="s">
        <v>162</v>
      </c>
      <c r="C51" s="7"/>
      <c r="D51" s="7"/>
      <c r="E51" s="7"/>
      <c r="F51" s="7"/>
      <c r="G51" s="7"/>
    </row>
    <row r="52" spans="2:7" ht="15.75" customHeight="1" x14ac:dyDescent="0.35">
      <c r="B52" s="10" t="s">
        <v>163</v>
      </c>
      <c r="C52" s="14">
        <f>IFERROR(C7/C15,"-")</f>
        <v>1.0422077367080529</v>
      </c>
      <c r="D52" s="14">
        <f>IFERROR(D7/D15,"-")</f>
        <v>1.1178523337727317</v>
      </c>
      <c r="E52" s="14">
        <f>IFERROR(E7/E15,"-")</f>
        <v>1.0870773690166571</v>
      </c>
      <c r="F52" s="14">
        <f>IFERROR(F7/F15,"-")</f>
        <v>1.0713874732862074</v>
      </c>
      <c r="G52" s="14">
        <f>IFERROR(G7/G15,"-")</f>
        <v>1.1584451663368045</v>
      </c>
    </row>
    <row r="53" spans="2:7" ht="15.75" customHeight="1" x14ac:dyDescent="0.35">
      <c r="B53" s="8" t="s">
        <v>164</v>
      </c>
      <c r="C53" s="16" t="s">
        <v>165</v>
      </c>
      <c r="D53" s="16" t="s">
        <v>165</v>
      </c>
      <c r="E53" s="16" t="s">
        <v>165</v>
      </c>
      <c r="F53" s="16" t="s">
        <v>165</v>
      </c>
      <c r="G53" s="16" t="s">
        <v>165</v>
      </c>
    </row>
    <row r="54" spans="2:7" ht="4.5" customHeight="1" x14ac:dyDescent="0.35">
      <c r="B54" s="5"/>
      <c r="C54" s="5"/>
      <c r="D54" s="5"/>
      <c r="E54" s="5"/>
      <c r="F54" s="5"/>
      <c r="G54" s="5"/>
    </row>
    <row r="55" spans="2:7" ht="18" customHeight="1" x14ac:dyDescent="0.35">
      <c r="B55" s="12" t="s">
        <v>166</v>
      </c>
      <c r="C55" s="7"/>
      <c r="D55" s="7"/>
      <c r="E55" s="7"/>
      <c r="F55" s="7"/>
      <c r="G55" s="7"/>
    </row>
    <row r="56" spans="2:7" ht="15.75" customHeight="1" x14ac:dyDescent="0.35">
      <c r="B56" s="10" t="s">
        <v>167</v>
      </c>
      <c r="C56" s="14">
        <f>IFERROR(C21/C11,"-")</f>
        <v>1.0988381918039714</v>
      </c>
      <c r="D56" s="14">
        <f>IFERROR(D21/D11,"-")</f>
        <v>1.2239211246154926</v>
      </c>
      <c r="E56" s="14">
        <f>IFERROR(E21/E11,"-")</f>
        <v>1.1396773029537606</v>
      </c>
      <c r="F56" s="14">
        <f>IFERROR(F21/F11,"-")</f>
        <v>1.2615643936161134</v>
      </c>
      <c r="G56" s="14">
        <f>IFERROR(G21/G11,"-")</f>
        <v>0.99528613516650299</v>
      </c>
    </row>
    <row r="57" spans="2:7" ht="15.75" customHeight="1" x14ac:dyDescent="0.35">
      <c r="B57" s="8" t="s">
        <v>168</v>
      </c>
      <c r="C57" s="18">
        <f>IFERROR(ABS(C22)/C7,"-")</f>
        <v>3.0302036264033657E-2</v>
      </c>
      <c r="D57" s="18">
        <f>IFERROR(ABS(D22)/D7,"-")</f>
        <v>2.7155058732831552E-2</v>
      </c>
      <c r="E57" s="18">
        <f>IFERROR(ABS(E22)/E7,"-")</f>
        <v>2.859230076835775E-2</v>
      </c>
      <c r="F57" s="18">
        <f>IFERROR(ABS(F22)/F7,"-")</f>
        <v>2.415896275269477E-2</v>
      </c>
      <c r="G57" s="18">
        <f>IFERROR(ABS(G22)/G7,"-")</f>
        <v>3.0553079216937677E-2</v>
      </c>
    </row>
    <row r="58" spans="2:7" ht="15.75" customHeight="1" x14ac:dyDescent="0.35">
      <c r="B58" s="10" t="s">
        <v>169</v>
      </c>
      <c r="C58" s="14">
        <f>IFERROR(C23/C11,"-")</f>
        <v>0.98175961132234901</v>
      </c>
      <c r="D58" s="14">
        <f>IFERROR(D23/D11,"-")</f>
        <v>1.1166297606284381</v>
      </c>
      <c r="E58" s="14">
        <f>IFERROR(E23/E11,"-")</f>
        <v>1.0266920975308005</v>
      </c>
      <c r="F58" s="14">
        <f>IFERROR(F23/F11,"-")</f>
        <v>1.1607813433472731</v>
      </c>
      <c r="G58" s="14">
        <f>IFERROR(G23/G11,"-")</f>
        <v>0.88176948486742257</v>
      </c>
    </row>
    <row r="59" spans="2:7" ht="7.5" customHeight="1" x14ac:dyDescent="0.35">
      <c r="B59" s="5"/>
      <c r="C59" s="5"/>
      <c r="D59" s="5"/>
      <c r="E59" s="5"/>
      <c r="F59" s="5"/>
      <c r="G59" s="5"/>
    </row>
  </sheetData>
  <mergeCells count="2">
    <mergeCell ref="B1:G1"/>
    <mergeCell ref="B2:G2"/>
  </mergeCells>
  <pageMargins left="0.5" right="0.5" top="0.75" bottom="0.75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31AA-EA4F-45D1-B559-92A147896854}">
  <sheetPr codeName="Sheet3">
    <tabColor theme="8" tint="0.39997558519241921"/>
  </sheetPr>
  <dimension ref="A1:G45"/>
  <sheetViews>
    <sheetView zoomScaleNormal="100" workbookViewId="0">
      <selection activeCell="D43" sqref="D43"/>
    </sheetView>
  </sheetViews>
  <sheetFormatPr defaultColWidth="8.6328125" defaultRowHeight="14.5" x14ac:dyDescent="0.35"/>
  <cols>
    <col min="1" max="1" width="47.26953125" bestFit="1" customWidth="1"/>
    <col min="2" max="2" width="20.81640625" bestFit="1" customWidth="1"/>
    <col min="3" max="7" width="16" customWidth="1"/>
  </cols>
  <sheetData>
    <row r="1" spans="1:7" ht="21" x14ac:dyDescent="0.35">
      <c r="A1" s="370" t="s">
        <v>541</v>
      </c>
      <c r="B1" s="370"/>
      <c r="C1" s="370"/>
      <c r="D1" s="370"/>
      <c r="E1" s="370"/>
      <c r="F1" s="370"/>
      <c r="G1" s="370"/>
    </row>
    <row r="2" spans="1:7" x14ac:dyDescent="0.35">
      <c r="A2" s="371" t="s">
        <v>542</v>
      </c>
      <c r="B2" s="371"/>
      <c r="C2" s="371"/>
      <c r="D2" s="371"/>
      <c r="E2" s="371"/>
      <c r="F2" s="371"/>
      <c r="G2" s="371"/>
    </row>
    <row r="3" spans="1:7" x14ac:dyDescent="0.35">
      <c r="A3" s="197"/>
      <c r="B3" s="197" t="str">
        <f>'Income Statement'!G4</f>
        <v>FY2025</v>
      </c>
      <c r="C3" s="197" t="str">
        <f>'Income Statement'!H4</f>
        <v>FY2026</v>
      </c>
      <c r="D3" s="197" t="str">
        <f>'Income Statement'!I4</f>
        <v>FY2027</v>
      </c>
      <c r="E3" s="197" t="str">
        <f>'Income Statement'!J4</f>
        <v>FY2028</v>
      </c>
      <c r="F3" s="197" t="str">
        <f>'Income Statement'!K4</f>
        <v>FY2029</v>
      </c>
      <c r="G3" s="197" t="str">
        <f>'Income Statement'!L4</f>
        <v>FY2030</v>
      </c>
    </row>
    <row r="4" spans="1:7" x14ac:dyDescent="0.35">
      <c r="A4" s="388" t="s">
        <v>543</v>
      </c>
      <c r="B4" s="389"/>
      <c r="C4" s="389"/>
      <c r="D4" s="389"/>
      <c r="E4" s="389"/>
      <c r="F4" s="389"/>
      <c r="G4" s="389"/>
    </row>
    <row r="5" spans="1:7" x14ac:dyDescent="0.35">
      <c r="A5" s="198" t="s">
        <v>544</v>
      </c>
      <c r="B5" s="149">
        <f>'Income Statement'!G10</f>
        <v>416161000000</v>
      </c>
      <c r="C5" s="149">
        <f>'Income Statement'!H10</f>
        <v>443540922276.62915</v>
      </c>
      <c r="D5" s="149">
        <f>'Income Statement'!I10</f>
        <v>473432279873.25586</v>
      </c>
      <c r="E5" s="149">
        <f>'Income Statement'!J10</f>
        <v>506125435731.4303</v>
      </c>
      <c r="F5" s="149">
        <f>'Income Statement'!K10</f>
        <v>541947960060.93213</v>
      </c>
      <c r="G5" s="149">
        <f>'Income Statement'!L10</f>
        <v>581269572963.57593</v>
      </c>
    </row>
    <row r="6" spans="1:7" x14ac:dyDescent="0.35">
      <c r="A6" s="198" t="s">
        <v>545</v>
      </c>
      <c r="B6" s="150">
        <f>'Income Statement'!G56</f>
        <v>133050000000</v>
      </c>
      <c r="C6" s="150">
        <f>'Income Statement'!H56</f>
        <v>157432593525.43546</v>
      </c>
      <c r="D6" s="150">
        <f>'Income Statement'!I56</f>
        <v>174626407294.54483</v>
      </c>
      <c r="E6" s="150">
        <f>'Income Statement'!J56</f>
        <v>193342541296.16794</v>
      </c>
      <c r="F6" s="150">
        <f>'Income Statement'!K56</f>
        <v>206507492988.33542</v>
      </c>
      <c r="G6" s="150">
        <f>'Income Statement'!L56</f>
        <v>226957265998.37909</v>
      </c>
    </row>
    <row r="7" spans="1:7" x14ac:dyDescent="0.35">
      <c r="A7" s="198" t="s">
        <v>546</v>
      </c>
      <c r="B7" s="149">
        <f>'Cash Flow Statement'!G9</f>
        <v>11698000000</v>
      </c>
      <c r="C7" s="149">
        <f>'Cash Flow Statement'!H9</f>
        <v>12419145823.745617</v>
      </c>
      <c r="D7" s="149">
        <f>'Cash Flow Statement'!I9</f>
        <v>13256103836.451164</v>
      </c>
      <c r="E7" s="149">
        <f>'Cash Flow Statement'!J9</f>
        <v>13665386764.748617</v>
      </c>
      <c r="F7" s="149">
        <f>'Cash Flow Statement'!K9</f>
        <v>14632594921.645166</v>
      </c>
      <c r="G7" s="149">
        <f>'Cash Flow Statement'!L9</f>
        <v>15694278470.01655</v>
      </c>
    </row>
    <row r="8" spans="1:7" x14ac:dyDescent="0.35">
      <c r="A8" s="199" t="s">
        <v>547</v>
      </c>
      <c r="B8" s="150">
        <f>'Income Statement'!G34</f>
        <v>133050000000</v>
      </c>
      <c r="C8" s="150">
        <f>'Income Statement'!H34</f>
        <v>145013447701.68985</v>
      </c>
      <c r="D8" s="150">
        <f>'Income Statement'!I34</f>
        <v>161370303458.09366</v>
      </c>
      <c r="E8" s="150">
        <f>'Income Statement'!J34</f>
        <v>179677154531.41931</v>
      </c>
      <c r="F8" s="150">
        <f>'Income Statement'!K34</f>
        <v>191874898066.69025</v>
      </c>
      <c r="G8" s="150">
        <f>'Income Statement'!L34</f>
        <v>211262987528.36255</v>
      </c>
    </row>
    <row r="9" spans="1:7" x14ac:dyDescent="0.35">
      <c r="A9" s="198" t="s">
        <v>548</v>
      </c>
      <c r="B9" s="149">
        <f>'Income Statement'!G47</f>
        <v>20719000000</v>
      </c>
      <c r="C9" s="149">
        <f>'Income Statement'!H47</f>
        <v>30452824017.354866</v>
      </c>
      <c r="D9" s="149">
        <f>'Income Statement'!I47</f>
        <v>33887763726.199669</v>
      </c>
      <c r="E9" s="149">
        <f>'Income Statement'!J47</f>
        <v>37732202451.598053</v>
      </c>
      <c r="F9" s="149">
        <f>'Income Statement'!K47</f>
        <v>40293728594.004951</v>
      </c>
      <c r="G9" s="149">
        <f>'Income Statement'!L47</f>
        <v>44365227380.956131</v>
      </c>
    </row>
    <row r="10" spans="1:7" x14ac:dyDescent="0.35">
      <c r="A10" s="199" t="s">
        <v>549</v>
      </c>
      <c r="B10" s="150">
        <f>B8-B9</f>
        <v>112331000000</v>
      </c>
      <c r="C10" s="150">
        <f t="shared" ref="C10:G10" si="0">C8-C9</f>
        <v>114560623684.33499</v>
      </c>
      <c r="D10" s="150">
        <f t="shared" si="0"/>
        <v>127482539731.89398</v>
      </c>
      <c r="E10" s="150">
        <f t="shared" si="0"/>
        <v>141944952079.82126</v>
      </c>
      <c r="F10" s="150">
        <f t="shared" si="0"/>
        <v>151581169472.6853</v>
      </c>
      <c r="G10" s="150">
        <f t="shared" si="0"/>
        <v>166897760147.40643</v>
      </c>
    </row>
    <row r="11" spans="1:7" x14ac:dyDescent="0.35">
      <c r="A11" s="198" t="s">
        <v>550</v>
      </c>
      <c r="B11" s="149">
        <f>B7</f>
        <v>11698000000</v>
      </c>
      <c r="C11" s="149">
        <f t="shared" ref="C11:G11" si="1">C7</f>
        <v>12419145823.745617</v>
      </c>
      <c r="D11" s="149">
        <f t="shared" si="1"/>
        <v>13256103836.451164</v>
      </c>
      <c r="E11" s="149">
        <f t="shared" si="1"/>
        <v>13665386764.748617</v>
      </c>
      <c r="F11" s="149">
        <f t="shared" si="1"/>
        <v>14632594921.645166</v>
      </c>
      <c r="G11" s="149">
        <f t="shared" si="1"/>
        <v>15694278470.01655</v>
      </c>
    </row>
    <row r="12" spans="1:7" x14ac:dyDescent="0.35">
      <c r="A12" s="198" t="s">
        <v>551</v>
      </c>
      <c r="B12" s="150">
        <f>-'Cash Flow Statement'!G25</f>
        <v>12715000000</v>
      </c>
      <c r="C12" s="150">
        <f>'Cash Flow Statement'!H25</f>
        <v>-13749768590.575504</v>
      </c>
      <c r="D12" s="150">
        <f>'Cash Flow Statement'!I25</f>
        <v>-14202968396.197676</v>
      </c>
      <c r="E12" s="150">
        <f>'Cash Flow Statement'!J25</f>
        <v>-14677637636.211479</v>
      </c>
      <c r="F12" s="150">
        <f>'Cash Flow Statement'!K25</f>
        <v>-15716490841.767033</v>
      </c>
      <c r="G12" s="150">
        <f>'Cash Flow Statement'!L25</f>
        <v>-16275548042.980125</v>
      </c>
    </row>
    <row r="13" spans="1:7" x14ac:dyDescent="0.35">
      <c r="A13" s="200" t="s">
        <v>552</v>
      </c>
      <c r="B13" s="149">
        <f>('Balance Sheet'!G14-'Balance Sheet'!G8-'Balance Sheet'!G9)-('Balance Sheet'!G36-'Balance Sheet'!G33-'Balance Sheet'!G32)-(('Balance Sheet'!F14-'Balance Sheet'!F8-'Balance Sheet'!F9)-('Balance Sheet'!F36-'Balance Sheet'!F33-'Balance Sheet'!F32))</f>
        <v>15655000000</v>
      </c>
      <c r="C13" s="39">
        <f>-B13</f>
        <v>-15655000000</v>
      </c>
      <c r="D13" s="39">
        <f>-C13</f>
        <v>15655000000</v>
      </c>
      <c r="E13" s="39">
        <f t="shared" ref="E13:G13" si="2">-D13</f>
        <v>-15655000000</v>
      </c>
      <c r="F13" s="39">
        <f t="shared" si="2"/>
        <v>15655000000</v>
      </c>
      <c r="G13" s="39">
        <f t="shared" si="2"/>
        <v>-15655000000</v>
      </c>
    </row>
    <row r="14" spans="1:7" x14ac:dyDescent="0.35">
      <c r="A14" s="204" t="s">
        <v>553</v>
      </c>
      <c r="B14" s="205">
        <f>B10+B11-B12-B13</f>
        <v>95659000000</v>
      </c>
      <c r="C14" s="205">
        <f t="shared" ref="C14:G14" si="3">C10+C11-C12-C13</f>
        <v>156384538098.65613</v>
      </c>
      <c r="D14" s="205">
        <f t="shared" si="3"/>
        <v>139286611964.54282</v>
      </c>
      <c r="E14" s="205">
        <f t="shared" si="3"/>
        <v>185942976480.78137</v>
      </c>
      <c r="F14" s="205">
        <f t="shared" si="3"/>
        <v>166275255236.0975</v>
      </c>
      <c r="G14" s="206">
        <f t="shared" si="3"/>
        <v>214522586660.40311</v>
      </c>
    </row>
    <row r="16" spans="1:7" x14ac:dyDescent="0.35">
      <c r="A16" s="385" t="s">
        <v>554</v>
      </c>
      <c r="B16" s="387"/>
      <c r="C16" s="210"/>
      <c r="D16" s="210"/>
      <c r="E16" s="210"/>
      <c r="F16" s="210"/>
      <c r="G16" s="210"/>
    </row>
    <row r="17" spans="1:7" x14ac:dyDescent="0.35">
      <c r="A17" s="222" t="s">
        <v>555</v>
      </c>
      <c r="B17" s="229">
        <f>'Assumptions &amp; Drivers'!D39</f>
        <v>0.10299999999999999</v>
      </c>
    </row>
    <row r="18" spans="1:7" x14ac:dyDescent="0.35">
      <c r="A18" s="26" t="s">
        <v>556</v>
      </c>
      <c r="B18" s="230">
        <f>'Assumptions &amp; Drivers'!D42</f>
        <v>2.3699999999999999E-2</v>
      </c>
    </row>
    <row r="19" spans="1:7" x14ac:dyDescent="0.35">
      <c r="A19" s="207" t="s">
        <v>554</v>
      </c>
      <c r="B19" s="208">
        <f>'Assumptions &amp; Drivers'!D45</f>
        <v>9.8241999999999996E-2</v>
      </c>
    </row>
    <row r="21" spans="1:7" x14ac:dyDescent="0.35">
      <c r="A21" s="385" t="s">
        <v>557</v>
      </c>
      <c r="B21" s="386"/>
      <c r="C21" s="386"/>
      <c r="D21" s="386"/>
      <c r="E21" s="386"/>
      <c r="F21" s="386"/>
      <c r="G21" s="386"/>
    </row>
    <row r="22" spans="1:7" x14ac:dyDescent="0.35">
      <c r="A22" s="222" t="s">
        <v>558</v>
      </c>
      <c r="B22" s="231">
        <v>0.5</v>
      </c>
      <c r="C22" s="231">
        <v>1.5</v>
      </c>
      <c r="D22" s="231">
        <v>2.5</v>
      </c>
      <c r="E22" s="232">
        <v>3.5</v>
      </c>
      <c r="F22" s="232">
        <v>4.5</v>
      </c>
      <c r="G22" s="233">
        <v>5.5</v>
      </c>
    </row>
    <row r="23" spans="1:7" x14ac:dyDescent="0.35">
      <c r="A23" s="23" t="s">
        <v>559</v>
      </c>
      <c r="B23" s="234">
        <f>1/(1+$B$19)^B22</f>
        <v>0.95422540699578196</v>
      </c>
      <c r="C23" s="234">
        <f>1/(1+$B$19)^C22</f>
        <v>0.86886624896496589</v>
      </c>
      <c r="D23" s="234">
        <f>1/(1+$B$19)^D22</f>
        <v>0.79114279818561473</v>
      </c>
      <c r="E23" s="234">
        <f t="shared" ref="E23:G23" si="4">1/(1+$B$19)^E22</f>
        <v>0.72037201107371118</v>
      </c>
      <c r="F23" s="234">
        <f t="shared" si="4"/>
        <v>0.65593194493901286</v>
      </c>
      <c r="G23" s="235">
        <f t="shared" si="4"/>
        <v>0.59725629227348143</v>
      </c>
    </row>
    <row r="24" spans="1:7" x14ac:dyDescent="0.35">
      <c r="A24" s="26" t="s">
        <v>560</v>
      </c>
      <c r="B24" s="202">
        <f>B14*B23</f>
        <v>91280248207.809509</v>
      </c>
      <c r="C24" s="202">
        <f>C14*C23</f>
        <v>135877247013.89815</v>
      </c>
      <c r="D24" s="202">
        <f>D14*D23</f>
        <v>110195599939.42233</v>
      </c>
      <c r="E24" s="202">
        <f t="shared" ref="E24:G24" si="5">E14*E23</f>
        <v>133948115912.49226</v>
      </c>
      <c r="F24" s="202">
        <f t="shared" si="5"/>
        <v>109065251562.24422</v>
      </c>
      <c r="G24" s="236">
        <f t="shared" si="5"/>
        <v>128124964717.70897</v>
      </c>
    </row>
    <row r="25" spans="1:7" x14ac:dyDescent="0.35">
      <c r="A25" s="207" t="s">
        <v>561</v>
      </c>
      <c r="B25" s="209">
        <f>SUM(B24:G24)</f>
        <v>708491427353.57544</v>
      </c>
    </row>
    <row r="27" spans="1:7" x14ac:dyDescent="0.35">
      <c r="A27" s="385" t="s">
        <v>562</v>
      </c>
      <c r="B27" s="386"/>
      <c r="C27" s="210"/>
      <c r="D27" s="210"/>
      <c r="E27" s="210"/>
      <c r="F27" s="210"/>
      <c r="G27" s="210"/>
    </row>
    <row r="28" spans="1:7" x14ac:dyDescent="0.35">
      <c r="A28" s="222" t="s">
        <v>563</v>
      </c>
      <c r="B28" s="82">
        <f>G6</f>
        <v>226957265998.37909</v>
      </c>
    </row>
    <row r="29" spans="1:7" x14ac:dyDescent="0.35">
      <c r="A29" s="237" t="s">
        <v>564</v>
      </c>
      <c r="B29" s="223">
        <f>G14*(1+'Assumptions &amp; Drivers'!D53)/($B$19-'Assumptions &amp; Drivers'!D53)</f>
        <v>3002179778363.687</v>
      </c>
    </row>
    <row r="30" spans="1:7" x14ac:dyDescent="0.35">
      <c r="A30" s="237" t="s">
        <v>565</v>
      </c>
      <c r="B30" s="223">
        <f>G6*'Assumptions &amp; Drivers'!D54</f>
        <v>3404358989975.6865</v>
      </c>
    </row>
    <row r="31" spans="1:7" x14ac:dyDescent="0.35">
      <c r="A31" s="23" t="s">
        <v>566</v>
      </c>
      <c r="B31" s="223">
        <f>B29/(1+$B$19)^5.5</f>
        <v>1793070763163.918</v>
      </c>
    </row>
    <row r="32" spans="1:7" x14ac:dyDescent="0.35">
      <c r="A32" s="26" t="s">
        <v>567</v>
      </c>
      <c r="B32" s="228">
        <f>B30/(1+$B$19)^6</f>
        <v>1940202500206.978</v>
      </c>
    </row>
    <row r="34" spans="1:7" x14ac:dyDescent="0.35">
      <c r="A34" s="385" t="s">
        <v>568</v>
      </c>
      <c r="B34" s="386"/>
      <c r="C34" s="210"/>
      <c r="D34" s="210"/>
      <c r="E34" s="210"/>
      <c r="F34" s="210"/>
      <c r="G34" s="210"/>
    </row>
    <row r="35" spans="1:7" x14ac:dyDescent="0.35">
      <c r="A35" s="225" t="s">
        <v>569</v>
      </c>
      <c r="B35" s="226">
        <f>B25+B31</f>
        <v>2501562190517.4932</v>
      </c>
    </row>
    <row r="36" spans="1:7" x14ac:dyDescent="0.35">
      <c r="A36" s="227" t="s">
        <v>570</v>
      </c>
      <c r="B36" s="228">
        <f>B25+B32</f>
        <v>2648693927560.5537</v>
      </c>
    </row>
    <row r="38" spans="1:7" x14ac:dyDescent="0.35">
      <c r="A38" s="385" t="s">
        <v>571</v>
      </c>
      <c r="B38" s="386"/>
      <c r="C38" s="210"/>
      <c r="D38" s="210"/>
      <c r="E38" s="210"/>
      <c r="F38" s="210"/>
      <c r="G38" s="210"/>
    </row>
    <row r="39" spans="1:7" x14ac:dyDescent="0.35">
      <c r="A39" s="222" t="s">
        <v>572</v>
      </c>
      <c r="B39" s="82">
        <f>-('Raw (Balance Sheet)'!N6+'Raw (Balance Sheet)'!N9+'Raw (Balance Sheet)'!N29-'Raw (Balance Sheet)'!N56-'Raw (Balance Sheet)'!N59-'Raw (Balance Sheet)'!N69)</f>
        <v>-33763000000</v>
      </c>
    </row>
    <row r="40" spans="1:7" x14ac:dyDescent="0.35">
      <c r="A40" s="23" t="s">
        <v>573</v>
      </c>
      <c r="B40" s="223">
        <f>B35-B39</f>
        <v>2535325190517.4932</v>
      </c>
    </row>
    <row r="41" spans="1:7" x14ac:dyDescent="0.35">
      <c r="A41" s="23" t="s">
        <v>574</v>
      </c>
      <c r="B41" s="223">
        <f>B36-B39</f>
        <v>2682456927560.5537</v>
      </c>
    </row>
    <row r="42" spans="1:7" x14ac:dyDescent="0.35">
      <c r="A42" s="26" t="s">
        <v>633</v>
      </c>
      <c r="B42" s="224">
        <f>'Income Statement'!G53</f>
        <v>15004697000</v>
      </c>
    </row>
    <row r="43" spans="1:7" x14ac:dyDescent="0.35">
      <c r="A43" s="207" t="s">
        <v>575</v>
      </c>
      <c r="B43" s="219">
        <f>IFERROR(B40/B42,0)</f>
        <v>168.9687696137745</v>
      </c>
    </row>
    <row r="44" spans="1:7" x14ac:dyDescent="0.35">
      <c r="A44" s="207" t="s">
        <v>576</v>
      </c>
      <c r="B44" s="220">
        <f>IFERROR(B41/B42,0)</f>
        <v>178.77448158803566</v>
      </c>
    </row>
    <row r="45" spans="1:7" x14ac:dyDescent="0.35">
      <c r="A45" s="207" t="s">
        <v>642</v>
      </c>
      <c r="B45" s="361">
        <f>'Balance Sheet'!G53/'Assumptions &amp; Drivers'!D48</f>
        <v>4.9139945978249342</v>
      </c>
      <c r="C45" s="362">
        <f>B44/B45</f>
        <v>36.38068337868463</v>
      </c>
    </row>
  </sheetData>
  <mergeCells count="8">
    <mergeCell ref="A38:B38"/>
    <mergeCell ref="A16:B16"/>
    <mergeCell ref="A27:B27"/>
    <mergeCell ref="A34:B34"/>
    <mergeCell ref="A1:G1"/>
    <mergeCell ref="A2:G2"/>
    <mergeCell ref="A4:G4"/>
    <mergeCell ref="A21:G21"/>
  </mergeCells>
  <conditionalFormatting sqref="A1:XFD3 A4 H4:XFD4 A5:XFD15 A16 C16:XFD16 A17:XFD20 A21 H21:XFD21 A22:XFD26 A27 C27:XFD27 A28:XFD33 A34 C34:XFD34 A35:XFD37 A38 C38:XFD38 A39:XFD44 A45:B45 D45:XFD45 A46:XFD1048576">
    <cfRule type="cellIs" dxfId="12" priority="1" operator="equal">
      <formula>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FF8F-1FAD-4047-8801-4A913473A9E2}">
  <sheetPr codeName="Sheet11">
    <tabColor theme="8" tint="0.39997558519241921"/>
  </sheetPr>
  <dimension ref="A1:G25"/>
  <sheetViews>
    <sheetView zoomScaleNormal="100" workbookViewId="0">
      <selection activeCell="A2" sqref="A2:G2"/>
    </sheetView>
  </sheetViews>
  <sheetFormatPr defaultColWidth="8.6328125" defaultRowHeight="14.5" x14ac:dyDescent="0.35"/>
  <cols>
    <col min="1" max="1" width="31" style="221" customWidth="1"/>
    <col min="2" max="6" width="20.7265625" style="221" bestFit="1" customWidth="1"/>
    <col min="7" max="7" width="14" style="221" customWidth="1"/>
    <col min="8" max="16384" width="8.6328125" style="221"/>
  </cols>
  <sheetData>
    <row r="1" spans="1:7" ht="21" x14ac:dyDescent="0.35">
      <c r="A1" s="370" t="s">
        <v>647</v>
      </c>
      <c r="B1" s="370"/>
      <c r="C1" s="370"/>
      <c r="D1" s="370"/>
      <c r="E1" s="370"/>
      <c r="F1" s="370"/>
      <c r="G1" s="370"/>
    </row>
    <row r="2" spans="1:7" x14ac:dyDescent="0.35">
      <c r="A2" s="371" t="s">
        <v>577</v>
      </c>
      <c r="B2" s="371"/>
      <c r="C2" s="371"/>
      <c r="D2" s="371"/>
      <c r="E2" s="371"/>
      <c r="F2" s="371"/>
      <c r="G2" s="371"/>
    </row>
    <row r="4" spans="1:7" x14ac:dyDescent="0.35">
      <c r="A4" s="199" t="s">
        <v>578</v>
      </c>
    </row>
    <row r="5" spans="1:7" x14ac:dyDescent="0.35">
      <c r="A5" s="248" t="s">
        <v>579</v>
      </c>
      <c r="B5" s="240">
        <v>0.02</v>
      </c>
      <c r="C5" s="243">
        <v>2.5000000000000001E-2</v>
      </c>
      <c r="D5" s="241">
        <v>0.03</v>
      </c>
      <c r="E5" s="243">
        <v>3.5000000000000003E-2</v>
      </c>
      <c r="F5" s="244">
        <v>0.04</v>
      </c>
    </row>
    <row r="6" spans="1:7" x14ac:dyDescent="0.35">
      <c r="A6" s="245" t="s">
        <v>580</v>
      </c>
      <c r="B6" s="219">
        <f>IFERROR(((DCF!$B$14/(1+$A6)^DCF!$B$22+DCF!$C$14/(1+$A6)^DCF!$C$22+DCF!$D$14/(1+$A6)^DCF!$D$22+DCF!$E$14/(1+$A6)^DCF!$E$22+DCF!$F$14/(1+$A6)^DCF!$F$22+DCF!$G$14/(1+$A6)^DCF!$G$22)+((DCF!$G$14*(1+B$5)/($A6-B$5))/(1+$A6)^5.5)-DCF!$B$39)/DCF!$B$42,0)</f>
        <v>211.16684392080563</v>
      </c>
      <c r="C6" s="219">
        <f>IFERROR(((DCF!$B$14/(1+$A6)^DCF!$B$22+DCF!$C$14/(1+$A6)^DCF!$C$22+DCF!$D$14/(1+$A6)^DCF!$D$22+DCF!$E$14/(1+$A6)^DCF!$E$22+DCF!$F$14/(1+$A6)^DCF!$F$22+DCF!$G$14/(1+$A6)^DCF!$G$22)+((DCF!$G$14*(1+C$5)/($A6-C$5))/(1+$A6)^5.5)-DCF!$B$39)/DCF!$B$42,0)</f>
        <v>226.4881207590156</v>
      </c>
      <c r="D6" s="219">
        <f>IFERROR(((DCF!$B$14/(1+$A6)^DCF!$B$22+DCF!$C$14/(1+$A6)^DCF!$C$22+DCF!$D$14/(1+$A6)^DCF!$D$22+DCF!$E$14/(1+$A6)^DCF!$E$22+DCF!$F$14/(1+$A6)^DCF!$F$22+DCF!$G$14/(1+$A6)^DCF!$G$22)+((DCF!$G$14*(1+D$5)/($A6-D$5))/(1+$A6)^5.5)-DCF!$B$39)/DCF!$B$42,0)</f>
        <v>244.8736529648676</v>
      </c>
      <c r="E6" s="219">
        <f>IFERROR(((DCF!$B$14/(1+$A6)^DCF!$B$22+DCF!$C$14/(1+$A6)^DCF!$C$22+DCF!$D$14/(1+$A6)^DCF!$D$22+DCF!$E$14/(1+$A6)^DCF!$E$22+DCF!$F$14/(1+$A6)^DCF!$F$22+DCF!$G$14/(1+$A6)^DCF!$G$22)+((DCF!$G$14*(1+E$5)/($A6-E$5))/(1+$A6)^5.5)-DCF!$B$39)/DCF!$B$42,0)</f>
        <v>267.34485899424232</v>
      </c>
      <c r="F6" s="219">
        <f>IFERROR(((DCF!$B$14/(1+$A6)^DCF!$B$22+DCF!$C$14/(1+$A6)^DCF!$C$22+DCF!$D$14/(1+$A6)^DCF!$D$22+DCF!$E$14/(1+$A6)^DCF!$E$22+DCF!$F$14/(1+$A6)^DCF!$F$22+DCF!$G$14/(1+$A6)^DCF!$G$22)+((DCF!$G$14*(1+F$5)/($A6-F$5))/(1+$A6)^5.5)-DCF!$B$39)/DCF!$B$42,0)</f>
        <v>295.43386653096064</v>
      </c>
    </row>
    <row r="7" spans="1:7" x14ac:dyDescent="0.35">
      <c r="A7" s="246" t="s">
        <v>581</v>
      </c>
      <c r="B7" s="219">
        <f>IFERROR(((DCF!$B$14/(1+$A7)^DCF!$B$22+DCF!$C$14/(1+$A7)^DCF!$C$22+DCF!$D$14/(1+$A7)^DCF!$D$22+DCF!$E$14/(1+$A7)^DCF!$E$22+DCF!$F$14/(1+$A7)^DCF!$F$22+DCF!$G$14/(1+$A7)^DCF!$G$22)+((DCF!$G$14*(1+B$5)/($A7-B$5))/(1+$A7)^5.5)-DCF!$B$39)/DCF!$B$42,0)</f>
        <v>180.27267083268544</v>
      </c>
      <c r="C7" s="219">
        <f>IFERROR(((DCF!$B$14/(1+$A7)^DCF!$B$22+DCF!$C$14/(1+$A7)^DCF!$C$22+DCF!$D$14/(1+$A7)^DCF!$D$22+DCF!$E$14/(1+$A7)^DCF!$E$22+DCF!$F$14/(1+$A7)^DCF!$F$22+DCF!$G$14/(1+$A7)^DCF!$G$22)+((DCF!$G$14*(1+C$5)/($A7-C$5))/(1+$A7)^5.5)-DCF!$B$39)/DCF!$B$42,0)</f>
        <v>190.93335708342454</v>
      </c>
      <c r="D7" s="219">
        <f>IFERROR(((DCF!$B$14/(1+$A7)^DCF!$B$22+DCF!$C$14/(1+$A7)^DCF!$C$22+DCF!$D$14/(1+$A7)^DCF!$D$22+DCF!$E$14/(1+$A7)^DCF!$E$22+DCF!$F$14/(1+$A7)^DCF!$F$22+DCF!$G$14/(1+$A7)^DCF!$G$22)+((DCF!$G$14*(1+D$5)/($A7-D$5))/(1+$A7)^5.5)-DCF!$B$39)/DCF!$B$42,0)</f>
        <v>203.37082437595348</v>
      </c>
      <c r="E7" s="219">
        <f>IFERROR(((DCF!$B$14/(1+$A7)^DCF!$B$22+DCF!$C$14/(1+$A7)^DCF!$C$22+DCF!$D$14/(1+$A7)^DCF!$D$22+DCF!$E$14/(1+$A7)^DCF!$E$22+DCF!$F$14/(1+$A7)^DCF!$F$22+DCF!$G$14/(1+$A7)^DCF!$G$22)+((DCF!$G$14*(1+E$5)/($A7-E$5))/(1+$A7)^5.5)-DCF!$B$39)/DCF!$B$42,0)</f>
        <v>218.06964935803316</v>
      </c>
      <c r="F7" s="219">
        <f>IFERROR(((DCF!$B$14/(1+$A7)^DCF!$B$22+DCF!$C$14/(1+$A7)^DCF!$C$22+DCF!$D$14/(1+$A7)^DCF!$D$22+DCF!$E$14/(1+$A7)^DCF!$E$22+DCF!$F$14/(1+$A7)^DCF!$F$22+DCF!$G$14/(1+$A7)^DCF!$G$22)+((DCF!$G$14*(1+F$5)/($A7-F$5))/(1+$A7)^5.5)-DCF!$B$39)/DCF!$B$42,0)</f>
        <v>235.70823933652881</v>
      </c>
    </row>
    <row r="8" spans="1:7" x14ac:dyDescent="0.35">
      <c r="A8" s="246" t="s">
        <v>582</v>
      </c>
      <c r="B8" s="219">
        <f>IFERROR(((DCF!$B$14/(1+$A8)^DCF!$B$22+DCF!$C$14/(1+$A8)^DCF!$C$22+DCF!$D$14/(1+$A8)^DCF!$D$22+DCF!$E$14/(1+$A8)^DCF!$E$22+DCF!$F$14/(1+$A8)^DCF!$F$22+DCF!$G$14/(1+$A8)^DCF!$G$22)+((DCF!$G$14*(1+B$5)/($A8-B$5))/(1+$A8)^5.5)-DCF!$B$39)/DCF!$B$42,0)</f>
        <v>157.15409166256595</v>
      </c>
      <c r="C8" s="219">
        <f>IFERROR(((DCF!$B$14/(1+$A8)^DCF!$B$22+DCF!$C$14/(1+$A8)^DCF!$C$22+DCF!$D$14/(1+$A8)^DCF!$D$22+DCF!$E$14/(1+$A8)^DCF!$E$22+DCF!$F$14/(1+$A8)^DCF!$F$22+DCF!$G$14/(1+$A8)^DCF!$G$22)+((DCF!$G$14*(1+C$5)/($A8-C$5))/(1+$A8)^5.5)-DCF!$B$39)/DCF!$B$42,0)</f>
        <v>164.91294362765717</v>
      </c>
      <c r="D8" s="219">
        <f>IFERROR(((DCF!$B$14/(1+$A8)^DCF!$B$22+DCF!$C$14/(1+$A8)^DCF!$C$22+DCF!$D$14/(1+$A8)^DCF!$D$22+DCF!$E$14/(1+$A8)^DCF!$E$22+DCF!$F$14/(1+$A8)^DCF!$F$22+DCF!$G$14/(1+$A8)^DCF!$G$22)+((DCF!$G$14*(1+D$5)/($A8-D$5))/(1+$A8)^5.5)-DCF!$B$39)/DCF!$B$42,0)</f>
        <v>173.78020301633296</v>
      </c>
      <c r="E8" s="219">
        <f>IFERROR(((DCF!$B$14/(1+$A8)^DCF!$B$22+DCF!$C$14/(1+$A8)^DCF!$C$22+DCF!$D$14/(1+$A8)^DCF!$D$22+DCF!$E$14/(1+$A8)^DCF!$E$22+DCF!$F$14/(1+$A8)^DCF!$F$22+DCF!$G$14/(1+$A8)^DCF!$G$22)+((DCF!$G$14*(1+E$5)/($A8-E$5))/(1+$A8)^5.5)-DCF!$B$39)/DCF!$B$42,0)</f>
        <v>184.01165615711261</v>
      </c>
      <c r="F8" s="219">
        <f>IFERROR(((DCF!$B$14/(1+$A8)^DCF!$B$22+DCF!$C$14/(1+$A8)^DCF!$C$22+DCF!$D$14/(1+$A8)^DCF!$D$22+DCF!$E$14/(1+$A8)^DCF!$E$22+DCF!$F$14/(1+$A8)^DCF!$F$22+DCF!$G$14/(1+$A8)^DCF!$G$22)+((DCF!$G$14*(1+F$5)/($A8-F$5))/(1+$A8)^5.5)-DCF!$B$39)/DCF!$B$42,0)</f>
        <v>195.94835148802227</v>
      </c>
    </row>
    <row r="9" spans="1:7" x14ac:dyDescent="0.35">
      <c r="A9" s="246" t="s">
        <v>583</v>
      </c>
      <c r="B9" s="219">
        <f>IFERROR(((DCF!$B$14/(1+$A9)^DCF!$B$22+DCF!$C$14/(1+$A9)^DCF!$C$22+DCF!$D$14/(1+$A9)^DCF!$D$22+DCF!$E$14/(1+$A9)^DCF!$E$22+DCF!$F$14/(1+$A9)^DCF!$F$22+DCF!$G$14/(1+$A9)^DCF!$G$22)+((DCF!$G$14*(1+B$5)/($A9-B$5))/(1+$A9)^5.5)-DCF!$B$39)/DCF!$B$42,0)</f>
        <v>139.21667830429959</v>
      </c>
      <c r="C9" s="219">
        <f>IFERROR(((DCF!$B$14/(1+$A9)^DCF!$B$22+DCF!$C$14/(1+$A9)^DCF!$C$22+DCF!$D$14/(1+$A9)^DCF!$D$22+DCF!$E$14/(1+$A9)^DCF!$E$22+DCF!$F$14/(1+$A9)^DCF!$F$22+DCF!$G$14/(1+$A9)^DCF!$G$22)+((DCF!$G$14*(1+C$5)/($A9-C$5))/(1+$A9)^5.5)-DCF!$B$39)/DCF!$B$42,0)</f>
        <v>145.05920842086832</v>
      </c>
      <c r="D9" s="219">
        <f>IFERROR(((DCF!$B$14/(1+$A9)^DCF!$B$22+DCF!$C$14/(1+$A9)^DCF!$C$22+DCF!$D$14/(1+$A9)^DCF!$D$22+DCF!$E$14/(1+$A9)^DCF!$E$22+DCF!$F$14/(1+$A9)^DCF!$F$22+DCF!$G$14/(1+$A9)^DCF!$G$22)+((DCF!$G$14*(1+D$5)/($A9-D$5))/(1+$A9)^5.5)-DCF!$B$39)/DCF!$B$42,0)</f>
        <v>151.6320548020081</v>
      </c>
      <c r="E9" s="219">
        <f>IFERROR(((DCF!$B$14/(1+$A9)^DCF!$B$22+DCF!$C$14/(1+$A9)^DCF!$C$22+DCF!$D$14/(1+$A9)^DCF!$D$22+DCF!$E$14/(1+$A9)^DCF!$E$22+DCF!$F$14/(1+$A9)^DCF!$F$22+DCF!$G$14/(1+$A9)^DCF!$G$22)+((DCF!$G$14*(1+E$5)/($A9-E$5))/(1+$A9)^5.5)-DCF!$B$39)/DCF!$B$42,0)</f>
        <v>159.08128070063322</v>
      </c>
      <c r="F9" s="219">
        <f>IFERROR(((DCF!$B$14/(1+$A9)^DCF!$B$22+DCF!$C$14/(1+$A9)^DCF!$C$22+DCF!$D$14/(1+$A9)^DCF!$D$22+DCF!$E$14/(1+$A9)^DCF!$E$22+DCF!$F$14/(1+$A9)^DCF!$F$22+DCF!$G$14/(1+$A9)^DCF!$G$22)+((DCF!$G$14*(1+F$5)/($A9-F$5))/(1+$A9)^5.5)-DCF!$B$39)/DCF!$B$42,0)</f>
        <v>167.59468172763337</v>
      </c>
    </row>
    <row r="10" spans="1:7" x14ac:dyDescent="0.35">
      <c r="A10" s="247" t="s">
        <v>584</v>
      </c>
      <c r="B10" s="220">
        <f>IFERROR(((DCF!$B$14/(1+$A10)^DCF!$B$22+DCF!$C$14/(1+$A10)^DCF!$C$22+DCF!$D$14/(1+$A10)^DCF!$D$22+DCF!$E$14/(1+$A10)^DCF!$E$22+DCF!$F$14/(1+$A10)^DCF!$F$22+DCF!$G$14/(1+$A10)^DCF!$G$22)+((DCF!$G$14*(1+B$5)/($A10-B$5))/(1+$A10)^5.5)-DCF!$B$39)/DCF!$B$42,0)</f>
        <v>124.90392240209904</v>
      </c>
      <c r="C10" s="220">
        <f>IFERROR(((DCF!$B$14/(1+$A10)^DCF!$B$22+DCF!$C$14/(1+$A10)^DCF!$C$22+DCF!$D$14/(1+$A10)^DCF!$D$22+DCF!$E$14/(1+$A10)^DCF!$E$22+DCF!$F$14/(1+$A10)^DCF!$F$22+DCF!$G$14/(1+$A10)^DCF!$G$22)+((DCF!$G$14*(1+C$5)/($A10-C$5))/(1+$A10)^5.5)-DCF!$B$39)/DCF!$B$42,0)</f>
        <v>129.42259725384287</v>
      </c>
      <c r="D10" s="220">
        <f>IFERROR(((DCF!$B$14/(1+$A10)^DCF!$B$22+DCF!$C$14/(1+$A10)^DCF!$C$22+DCF!$D$14/(1+$A10)^DCF!$D$22+DCF!$E$14/(1+$A10)^DCF!$E$22+DCF!$F$14/(1+$A10)^DCF!$F$22+DCF!$G$14/(1+$A10)^DCF!$G$22)+((DCF!$G$14*(1+D$5)/($A10-D$5))/(1+$A10)^5.5)-DCF!$B$39)/DCF!$B$42,0)</f>
        <v>134.44334708911376</v>
      </c>
      <c r="E10" s="220">
        <f>IFERROR(((DCF!$B$14/(1+$A10)^DCF!$B$22+DCF!$C$14/(1+$A10)^DCF!$C$22+DCF!$D$14/(1+$A10)^DCF!$D$22+DCF!$E$14/(1+$A10)^DCF!$E$22+DCF!$F$14/(1+$A10)^DCF!$F$22+DCF!$G$14/(1+$A10)^DCF!$G$22)+((DCF!$G$14*(1+E$5)/($A10-E$5))/(1+$A10)^5.5)-DCF!$B$39)/DCF!$B$42,0)</f>
        <v>140.05477337559302</v>
      </c>
      <c r="F10" s="220">
        <f>IFERROR(((DCF!$B$14/(1+$A10)^DCF!$B$22+DCF!$C$14/(1+$A10)^DCF!$C$22+DCF!$D$14/(1+$A10)^DCF!$D$22+DCF!$E$14/(1+$A10)^DCF!$E$22+DCF!$F$14/(1+$A10)^DCF!$F$22+DCF!$G$14/(1+$A10)^DCF!$G$22)+((DCF!$G$14*(1+F$5)/($A10-F$5))/(1+$A10)^5.5)-DCF!$B$39)/DCF!$B$42,0)</f>
        <v>146.36762794788217</v>
      </c>
    </row>
    <row r="13" spans="1:7" x14ac:dyDescent="0.35">
      <c r="A13" s="199" t="s">
        <v>625</v>
      </c>
    </row>
    <row r="14" spans="1:7" x14ac:dyDescent="0.35">
      <c r="A14" s="248" t="s">
        <v>585</v>
      </c>
      <c r="B14" s="240">
        <v>0.2</v>
      </c>
      <c r="C14" s="241">
        <v>0.25</v>
      </c>
      <c r="D14" s="241">
        <v>0.3</v>
      </c>
      <c r="E14" s="241">
        <v>0.35</v>
      </c>
      <c r="F14" s="242">
        <v>0.4</v>
      </c>
    </row>
    <row r="15" spans="1:7" x14ac:dyDescent="0.35">
      <c r="A15" s="249">
        <v>0.02</v>
      </c>
      <c r="B15" s="401">
        <f>'Income Statement'!$G$10*(1+$A15)^5*B$14</f>
        <v>91895074228.103043</v>
      </c>
      <c r="C15" s="401">
        <f>'Income Statement'!$G$10*(1+$A15)^5*C$14</f>
        <v>114868842785.1288</v>
      </c>
      <c r="D15" s="401">
        <f>'Income Statement'!$G$10*(1+$A15)^5*D$14</f>
        <v>137842611342.15454</v>
      </c>
      <c r="E15" s="401">
        <f>'Income Statement'!$G$10*(1+$A15)^5*E$14</f>
        <v>160816379899.1803</v>
      </c>
      <c r="F15" s="401">
        <f>'Income Statement'!$G$10*(1+$A15)^5*F$14</f>
        <v>183790148456.20609</v>
      </c>
    </row>
    <row r="16" spans="1:7" x14ac:dyDescent="0.35">
      <c r="A16" s="250">
        <v>0.03</v>
      </c>
      <c r="B16" s="401">
        <f>'Income Statement'!$G$10*(1+$A16)^5*B$14</f>
        <v>96488931606.952454</v>
      </c>
      <c r="C16" s="401">
        <f>'Income Statement'!$G$10*(1+$A16)^5*C$14</f>
        <v>120611164508.69055</v>
      </c>
      <c r="D16" s="401">
        <f>'Income Statement'!$G$10*(1+$A16)^5*D$14</f>
        <v>144733397410.42865</v>
      </c>
      <c r="E16" s="401">
        <f>'Income Statement'!$G$10*(1+$A16)^5*E$14</f>
        <v>168855630312.16675</v>
      </c>
      <c r="F16" s="401">
        <f>'Income Statement'!$G$10*(1+$A16)^5*F$14</f>
        <v>192977863213.90491</v>
      </c>
    </row>
    <row r="17" spans="1:6" x14ac:dyDescent="0.35">
      <c r="A17" s="250">
        <v>0.04</v>
      </c>
      <c r="B17" s="401">
        <f>'Income Statement'!$G$10*(1+$A17)^5*B$14</f>
        <v>101264697703.13731</v>
      </c>
      <c r="C17" s="401">
        <f>'Income Statement'!$G$10*(1+$A17)^5*C$14</f>
        <v>126580872128.92163</v>
      </c>
      <c r="D17" s="401">
        <f>'Income Statement'!$G$10*(1+$A17)^5*D$14</f>
        <v>151897046554.70596</v>
      </c>
      <c r="E17" s="401">
        <f>'Income Statement'!$G$10*(1+$A17)^5*E$14</f>
        <v>177213220980.49026</v>
      </c>
      <c r="F17" s="401">
        <f>'Income Statement'!$G$10*(1+$A17)^5*F$14</f>
        <v>202529395406.27463</v>
      </c>
    </row>
    <row r="18" spans="1:6" x14ac:dyDescent="0.35">
      <c r="A18" s="250">
        <v>0.05</v>
      </c>
      <c r="B18" s="401">
        <f>'Income Statement'!$G$10*(1+$A18)^5*B$14</f>
        <v>106227722266.31252</v>
      </c>
      <c r="C18" s="401">
        <f>'Income Statement'!$G$10*(1+$A18)^5*C$14</f>
        <v>132784652832.89064</v>
      </c>
      <c r="D18" s="401">
        <f>'Income Statement'!$G$10*(1+$A18)^5*D$14</f>
        <v>159341583399.46875</v>
      </c>
      <c r="E18" s="401">
        <f>'Income Statement'!$G$10*(1+$A18)^5*E$14</f>
        <v>185898513966.04688</v>
      </c>
      <c r="F18" s="401">
        <f>'Income Statement'!$G$10*(1+$A18)^5*F$14</f>
        <v>212455444532.62503</v>
      </c>
    </row>
    <row r="19" spans="1:6" x14ac:dyDescent="0.35">
      <c r="A19" s="250">
        <v>0.06</v>
      </c>
      <c r="B19" s="401">
        <f>'Income Statement'!$G$10*(1+$A19)^5*B$14</f>
        <v>111383458919.91876</v>
      </c>
      <c r="C19" s="401">
        <f>'Income Statement'!$G$10*(1+$A19)^5*C$14</f>
        <v>139229323649.89844</v>
      </c>
      <c r="D19" s="401">
        <f>'Income Statement'!$G$10*(1+$A19)^5*D$14</f>
        <v>167075188379.87811</v>
      </c>
      <c r="E19" s="401">
        <f>'Income Statement'!$G$10*(1+$A19)^5*E$14</f>
        <v>194921053109.85779</v>
      </c>
      <c r="F19" s="401">
        <f>'Income Statement'!$G$10*(1+$A19)^5*F$14</f>
        <v>222766917839.83752</v>
      </c>
    </row>
    <row r="20" spans="1:6" x14ac:dyDescent="0.35">
      <c r="A20" s="250">
        <v>7.0000000000000007E-2</v>
      </c>
      <c r="B20" s="401">
        <f>'Income Statement'!$G$10*(1+$A20)^5*B$14</f>
        <v>116737466159.96857</v>
      </c>
      <c r="C20" s="401">
        <f>'Income Statement'!$G$10*(1+$A20)^5*C$14</f>
        <v>145921832699.96069</v>
      </c>
      <c r="D20" s="401">
        <f>'Income Statement'!$G$10*(1+$A20)^5*D$14</f>
        <v>175106199239.95282</v>
      </c>
      <c r="E20" s="401">
        <f>'Income Statement'!$G$10*(1+$A20)^5*E$14</f>
        <v>204290565779.94495</v>
      </c>
      <c r="F20" s="401">
        <f>'Income Statement'!$G$10*(1+$A20)^5*F$14</f>
        <v>233474932319.93713</v>
      </c>
    </row>
    <row r="21" spans="1:6" x14ac:dyDescent="0.35">
      <c r="A21" s="250">
        <v>0.08</v>
      </c>
      <c r="B21" s="401">
        <f>'Income Statement'!$G$10*(1+$A21)^5*B$14</f>
        <v>122295408353.83299</v>
      </c>
      <c r="C21" s="401">
        <f>'Income Statement'!$G$10*(1+$A21)^5*C$14</f>
        <v>152869260442.29123</v>
      </c>
      <c r="D21" s="401">
        <f>'Income Statement'!$G$10*(1+$A21)^5*D$14</f>
        <v>183443112530.74948</v>
      </c>
      <c r="E21" s="401">
        <f>'Income Statement'!$G$10*(1+$A21)^5*E$14</f>
        <v>214016964619.2077</v>
      </c>
      <c r="F21" s="401">
        <f>'Income Statement'!$G$10*(1+$A21)^5*F$14</f>
        <v>244590816707.66599</v>
      </c>
    </row>
    <row r="22" spans="1:6" x14ac:dyDescent="0.35">
      <c r="A22" s="250">
        <v>0.09</v>
      </c>
      <c r="B22" s="401">
        <f>'Income Statement'!$G$10*(1+$A22)^5*B$14</f>
        <v>128063056739.02783</v>
      </c>
      <c r="C22" s="401">
        <f>'Income Statement'!$G$10*(1+$A22)^5*C$14</f>
        <v>160078820923.78479</v>
      </c>
      <c r="D22" s="401">
        <f>'Income Statement'!$G$10*(1+$A22)^5*D$14</f>
        <v>192094585108.54175</v>
      </c>
      <c r="E22" s="401">
        <f>'Income Statement'!$G$10*(1+$A22)^5*E$14</f>
        <v>224110349293.29871</v>
      </c>
      <c r="F22" s="401">
        <f>'Income Statement'!$G$10*(1+$A22)^5*F$14</f>
        <v>256126113478.05566</v>
      </c>
    </row>
    <row r="23" spans="1:6" x14ac:dyDescent="0.35">
      <c r="A23" s="250">
        <v>0.1</v>
      </c>
      <c r="B23" s="401">
        <f>'Income Statement'!$G$10*(1+$A23)^5*B$14</f>
        <v>134046290422.00006</v>
      </c>
      <c r="C23" s="401">
        <f>'Income Statement'!$G$10*(1+$A23)^5*C$14</f>
        <v>167557863027.50006</v>
      </c>
      <c r="D23" s="401">
        <f>'Income Statement'!$G$10*(1+$A23)^5*D$14</f>
        <v>201069435633.00006</v>
      </c>
      <c r="E23" s="401">
        <f>'Income Statement'!$G$10*(1+$A23)^5*E$14</f>
        <v>234581008238.50006</v>
      </c>
      <c r="F23" s="401">
        <f>'Income Statement'!$G$10*(1+$A23)^5*F$14</f>
        <v>268092580844.00012</v>
      </c>
    </row>
    <row r="24" spans="1:6" x14ac:dyDescent="0.35">
      <c r="A24" s="250">
        <v>0.11</v>
      </c>
      <c r="B24" s="401">
        <f>'Income Statement'!$G$10*(1+$A24)^5*B$14</f>
        <v>140251097376.91428</v>
      </c>
      <c r="C24" s="401">
        <f>'Income Statement'!$G$10*(1+$A24)^5*C$14</f>
        <v>175313871721.14282</v>
      </c>
      <c r="D24" s="401">
        <f>'Income Statement'!$G$10*(1+$A24)^5*D$14</f>
        <v>210376646065.37137</v>
      </c>
      <c r="E24" s="401">
        <f>'Income Statement'!$G$10*(1+$A24)^5*E$14</f>
        <v>245439420409.59995</v>
      </c>
      <c r="F24" s="401">
        <f>'Income Statement'!$G$10*(1+$A24)^5*F$14</f>
        <v>280502194753.82855</v>
      </c>
    </row>
    <row r="25" spans="1:6" x14ac:dyDescent="0.35">
      <c r="A25" s="251">
        <v>0.12</v>
      </c>
      <c r="B25" s="401">
        <f>'Income Statement'!$G$10*(1+$A25)^5*B$14</f>
        <v>146683575444.43909</v>
      </c>
      <c r="C25" s="401">
        <f>'Income Statement'!$G$10*(1+$A25)^5*C$14</f>
        <v>183354469305.54886</v>
      </c>
      <c r="D25" s="401">
        <f>'Income Statement'!$G$10*(1+$A25)^5*D$14</f>
        <v>220025363166.65863</v>
      </c>
      <c r="E25" s="401">
        <f>'Income Statement'!$G$10*(1+$A25)^5*E$14</f>
        <v>256696257027.76837</v>
      </c>
      <c r="F25" s="401">
        <f>'Income Statement'!$G$10*(1+$A25)^5*F$14</f>
        <v>293367150888.87817</v>
      </c>
    </row>
  </sheetData>
  <mergeCells count="2">
    <mergeCell ref="A1:G1"/>
    <mergeCell ref="A2:G2"/>
  </mergeCells>
  <conditionalFormatting sqref="B6:F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F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G2">
    <cfRule type="cellIs" dxfId="11" priority="1" operator="equal">
      <formula>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BA0E-A294-428A-9E3B-4E2C4A64240D}">
  <sheetPr codeName="Sheet12">
    <tabColor theme="8" tint="0.39997558519241921"/>
  </sheetPr>
  <dimension ref="A1:L34"/>
  <sheetViews>
    <sheetView zoomScaleNormal="100" workbookViewId="0">
      <selection activeCell="A5" sqref="A5"/>
    </sheetView>
  </sheetViews>
  <sheetFormatPr defaultColWidth="8.6328125" defaultRowHeight="14.5" x14ac:dyDescent="0.35"/>
  <cols>
    <col min="1" max="1" width="38.54296875" bestFit="1" customWidth="1"/>
    <col min="2" max="2" width="16" customWidth="1"/>
    <col min="3" max="3" width="23.6328125" customWidth="1"/>
    <col min="4" max="6" width="16" customWidth="1"/>
    <col min="12" max="12" width="17.1796875" bestFit="1" customWidth="1"/>
  </cols>
  <sheetData>
    <row r="1" spans="1:11" ht="21" x14ac:dyDescent="0.35">
      <c r="A1" s="370" t="s">
        <v>649</v>
      </c>
      <c r="B1" s="370"/>
      <c r="C1" s="370"/>
      <c r="D1" s="370"/>
      <c r="E1" s="370"/>
      <c r="F1" s="370"/>
      <c r="G1" s="370"/>
      <c r="I1" s="221"/>
      <c r="J1" s="221"/>
    </row>
    <row r="2" spans="1:11" x14ac:dyDescent="0.35">
      <c r="A2" s="371" t="s">
        <v>648</v>
      </c>
      <c r="B2" s="371"/>
      <c r="C2" s="371"/>
      <c r="D2" s="371"/>
      <c r="E2" s="371"/>
      <c r="F2" s="371"/>
      <c r="G2" s="371"/>
      <c r="I2" s="221"/>
      <c r="J2" s="221"/>
    </row>
    <row r="3" spans="1:11" ht="11" customHeight="1" x14ac:dyDescent="0.35">
      <c r="A3" s="354"/>
      <c r="B3" s="354"/>
      <c r="C3" s="354"/>
      <c r="D3" s="354"/>
      <c r="E3" s="354"/>
      <c r="F3" s="354"/>
      <c r="G3" s="354"/>
      <c r="I3" s="221"/>
      <c r="J3" s="221"/>
    </row>
    <row r="4" spans="1:11" x14ac:dyDescent="0.35">
      <c r="A4" s="199" t="s">
        <v>586</v>
      </c>
      <c r="B4" s="257" t="s">
        <v>589</v>
      </c>
      <c r="I4" s="221"/>
      <c r="J4" s="221"/>
    </row>
    <row r="5" spans="1:11" x14ac:dyDescent="0.35">
      <c r="I5" s="221"/>
      <c r="J5" s="221"/>
    </row>
    <row r="6" spans="1:11" x14ac:dyDescent="0.35">
      <c r="A6" s="252" t="s">
        <v>587</v>
      </c>
      <c r="B6" s="318" t="s">
        <v>629</v>
      </c>
      <c r="C6" s="253" t="s">
        <v>588</v>
      </c>
      <c r="D6" s="248" t="s">
        <v>634</v>
      </c>
      <c r="E6" s="254" t="s">
        <v>589</v>
      </c>
      <c r="F6" s="221"/>
      <c r="J6" s="221"/>
      <c r="K6" s="221"/>
    </row>
    <row r="7" spans="1:11" x14ac:dyDescent="0.35">
      <c r="A7" s="222" t="s">
        <v>443</v>
      </c>
      <c r="B7" s="317">
        <f>'Assumptions &amp; Drivers'!E7</f>
        <v>4.1161069774066972E-2</v>
      </c>
      <c r="C7" s="330">
        <v>0.1</v>
      </c>
      <c r="D7" s="350">
        <v>7.0000000000000007E-2</v>
      </c>
      <c r="E7" s="332">
        <v>0.05</v>
      </c>
      <c r="F7" s="221"/>
      <c r="J7" s="221"/>
      <c r="K7" s="221"/>
    </row>
    <row r="8" spans="1:11" x14ac:dyDescent="0.35">
      <c r="A8" s="23" t="s">
        <v>445</v>
      </c>
      <c r="B8" s="317">
        <f>'Assumptions &amp; Drivers'!E8</f>
        <v>0.13506431386413498</v>
      </c>
      <c r="C8" s="331">
        <v>0.1</v>
      </c>
      <c r="D8" s="351">
        <v>7.0000000000000007E-2</v>
      </c>
      <c r="E8" s="333">
        <v>0.05</v>
      </c>
      <c r="F8" s="221"/>
      <c r="J8" s="221"/>
      <c r="K8" s="221"/>
    </row>
    <row r="9" spans="1:11" x14ac:dyDescent="0.35">
      <c r="A9" s="23" t="s">
        <v>469</v>
      </c>
      <c r="B9" s="317">
        <f>'Assumptions &amp; Drivers'!E27</f>
        <v>0.21</v>
      </c>
      <c r="C9" s="331">
        <v>0.21</v>
      </c>
      <c r="D9" s="351">
        <v>0.21</v>
      </c>
      <c r="E9" s="333">
        <v>0.21</v>
      </c>
      <c r="F9" s="221"/>
      <c r="J9" s="221"/>
      <c r="K9" s="221"/>
    </row>
    <row r="10" spans="1:11" x14ac:dyDescent="0.35">
      <c r="A10" s="23" t="s">
        <v>476</v>
      </c>
      <c r="B10" s="323">
        <f>'Assumptions &amp; Drivers'!E32</f>
        <v>90000</v>
      </c>
      <c r="C10" s="342">
        <v>90000</v>
      </c>
      <c r="D10" s="352">
        <v>90000</v>
      </c>
      <c r="E10" s="343">
        <v>90000</v>
      </c>
      <c r="F10" s="221"/>
      <c r="J10" s="221"/>
      <c r="K10" s="221"/>
    </row>
    <row r="11" spans="1:11" x14ac:dyDescent="0.35">
      <c r="A11" s="23" t="s">
        <v>499</v>
      </c>
      <c r="B11" s="317">
        <f>'Assumptions &amp; Drivers'!D45</f>
        <v>9.8241999999999996E-2</v>
      </c>
      <c r="C11" s="331">
        <v>0.08</v>
      </c>
      <c r="D11" s="351">
        <v>8.8842000000000004E-2</v>
      </c>
      <c r="E11" s="333">
        <v>9.8241999999999996E-2</v>
      </c>
      <c r="F11" s="221"/>
      <c r="J11" s="221"/>
      <c r="K11" s="221"/>
    </row>
    <row r="12" spans="1:11" x14ac:dyDescent="0.35">
      <c r="A12" s="23" t="s">
        <v>616</v>
      </c>
      <c r="B12" s="317">
        <f>'Assumptions &amp; Drivers'!D53</f>
        <v>2.5000000000000001E-2</v>
      </c>
      <c r="C12" s="331">
        <v>3.5000000000000003E-2</v>
      </c>
      <c r="D12" s="351">
        <v>0.03</v>
      </c>
      <c r="E12" s="333">
        <v>2.5000000000000001E-2</v>
      </c>
      <c r="F12" s="221"/>
      <c r="J12" s="221"/>
      <c r="K12" s="221"/>
    </row>
    <row r="13" spans="1:11" x14ac:dyDescent="0.35">
      <c r="A13" s="26" t="s">
        <v>618</v>
      </c>
      <c r="B13" s="324">
        <f>'Assumptions &amp; Drivers'!D54</f>
        <v>15</v>
      </c>
      <c r="C13" s="340">
        <v>20</v>
      </c>
      <c r="D13" s="353">
        <v>15</v>
      </c>
      <c r="E13" s="341">
        <v>15</v>
      </c>
      <c r="F13" s="221"/>
    </row>
    <row r="14" spans="1:11" x14ac:dyDescent="0.35">
      <c r="B14" s="313"/>
      <c r="C14" s="313"/>
      <c r="D14" s="313"/>
      <c r="F14" s="221"/>
    </row>
    <row r="15" spans="1:11" x14ac:dyDescent="0.35">
      <c r="H15" s="221"/>
      <c r="I15" s="221"/>
    </row>
    <row r="16" spans="1:11" x14ac:dyDescent="0.35">
      <c r="A16" s="197" t="s">
        <v>591</v>
      </c>
      <c r="B16" s="27"/>
      <c r="C16" s="27"/>
      <c r="D16" s="27"/>
      <c r="E16" s="27"/>
      <c r="H16" s="221"/>
      <c r="I16" s="221"/>
    </row>
    <row r="17" spans="1:12" x14ac:dyDescent="0.35">
      <c r="A17" s="248" t="s">
        <v>592</v>
      </c>
      <c r="B17" s="318" t="s">
        <v>629</v>
      </c>
      <c r="C17" s="256" t="s">
        <v>593</v>
      </c>
      <c r="D17" s="248" t="s">
        <v>588</v>
      </c>
      <c r="E17" s="248" t="s">
        <v>634</v>
      </c>
      <c r="F17" s="254" t="s">
        <v>589</v>
      </c>
      <c r="H17" s="221"/>
      <c r="I17" s="221"/>
    </row>
    <row r="18" spans="1:12" x14ac:dyDescent="0.35">
      <c r="A18" s="314" t="s">
        <v>630</v>
      </c>
      <c r="B18" s="319">
        <f>DCF!G5</f>
        <v>581269572963.57593</v>
      </c>
      <c r="C18" s="344">
        <f t="shared" ref="C18:C26" si="0">INDEX(E18:F18,1,MATCH($B$4,$E$17:$F$17,0))</f>
        <v>531138611331.5625</v>
      </c>
      <c r="D18" s="325">
        <v>670231452110.00024</v>
      </c>
      <c r="E18" s="325">
        <v>583687330799.84277</v>
      </c>
      <c r="F18" s="334">
        <v>531138611331.5625</v>
      </c>
      <c r="H18" s="221"/>
      <c r="I18" s="221"/>
      <c r="L18" s="258"/>
    </row>
    <row r="19" spans="1:12" x14ac:dyDescent="0.35">
      <c r="A19" s="216" t="s">
        <v>631</v>
      </c>
      <c r="B19" s="316">
        <f>DCF!G6</f>
        <v>226957265998.37909</v>
      </c>
      <c r="C19" s="345">
        <f t="shared" si="0"/>
        <v>188911694764.64249</v>
      </c>
      <c r="D19" s="326">
        <v>238383270960.56006</v>
      </c>
      <c r="E19" s="326">
        <v>207601858576.26495</v>
      </c>
      <c r="F19" s="335">
        <v>188911694764.64249</v>
      </c>
      <c r="H19" s="221"/>
      <c r="I19" s="221"/>
    </row>
    <row r="20" spans="1:12" x14ac:dyDescent="0.35">
      <c r="A20" s="216" t="s">
        <v>632</v>
      </c>
      <c r="B20" s="317">
        <f>'Income Statement'!L57</f>
        <v>0.39045096553264952</v>
      </c>
      <c r="C20" s="346">
        <f t="shared" si="0"/>
        <v>0.35567305922467501</v>
      </c>
      <c r="D20" s="327">
        <v>0.35567305922467501</v>
      </c>
      <c r="E20" s="327">
        <v>0.35567305922467501</v>
      </c>
      <c r="F20" s="336">
        <v>0.35567305922467501</v>
      </c>
      <c r="H20" s="221"/>
      <c r="I20" s="221"/>
    </row>
    <row r="21" spans="1:12" x14ac:dyDescent="0.35">
      <c r="A21" s="216" t="s">
        <v>590</v>
      </c>
      <c r="B21" s="316">
        <f>DCF!B39</f>
        <v>-33763000000</v>
      </c>
      <c r="C21" s="345">
        <f t="shared" si="0"/>
        <v>-33763000000</v>
      </c>
      <c r="D21" s="326">
        <v>-33763000000</v>
      </c>
      <c r="E21" s="326">
        <v>-33763000000</v>
      </c>
      <c r="F21" s="335">
        <v>-33763000000</v>
      </c>
      <c r="H21" s="221"/>
      <c r="I21" s="221"/>
    </row>
    <row r="22" spans="1:12" x14ac:dyDescent="0.35">
      <c r="A22" s="216" t="s">
        <v>573</v>
      </c>
      <c r="B22" s="316">
        <f>DCF!B40</f>
        <v>2535325190517.4932</v>
      </c>
      <c r="C22" s="345">
        <f t="shared" si="0"/>
        <v>1884839303116.2837</v>
      </c>
      <c r="D22" s="326">
        <v>3632773808429.8677</v>
      </c>
      <c r="E22" s="326">
        <v>2497380668084.9717</v>
      </c>
      <c r="F22" s="335">
        <v>1884839303116.2837</v>
      </c>
      <c r="H22" s="221"/>
      <c r="I22" s="221"/>
    </row>
    <row r="23" spans="1:12" x14ac:dyDescent="0.35">
      <c r="A23" s="216" t="s">
        <v>574</v>
      </c>
      <c r="B23" s="316">
        <f>DCF!B41</f>
        <v>2682456927560.5537</v>
      </c>
      <c r="C23" s="345">
        <f t="shared" si="0"/>
        <v>2202640621445.2729</v>
      </c>
      <c r="D23" s="326">
        <v>3699074545534.3955</v>
      </c>
      <c r="E23" s="326">
        <v>2499919528752.2002</v>
      </c>
      <c r="F23" s="335">
        <v>2202640621445.2729</v>
      </c>
      <c r="H23" s="221"/>
      <c r="I23" s="221"/>
    </row>
    <row r="24" spans="1:12" x14ac:dyDescent="0.35">
      <c r="A24" s="315" t="s">
        <v>633</v>
      </c>
      <c r="B24" s="320">
        <f>DCF!B42</f>
        <v>15004697000</v>
      </c>
      <c r="C24" s="347">
        <f t="shared" si="0"/>
        <v>15004697000</v>
      </c>
      <c r="D24" s="349">
        <v>15004697000</v>
      </c>
      <c r="E24" s="349">
        <v>15004697000</v>
      </c>
      <c r="F24" s="337">
        <v>15004697000</v>
      </c>
      <c r="H24" s="221"/>
      <c r="I24" s="221"/>
    </row>
    <row r="25" spans="1:12" x14ac:dyDescent="0.35">
      <c r="A25" s="314" t="s">
        <v>575</v>
      </c>
      <c r="B25" s="321">
        <f>DCF!B43</f>
        <v>168.9687696137745</v>
      </c>
      <c r="C25" s="238">
        <f t="shared" si="0"/>
        <v>125.61661879052164</v>
      </c>
      <c r="D25" s="328">
        <v>242.10910812993208</v>
      </c>
      <c r="E25" s="328">
        <v>166.43992664996645</v>
      </c>
      <c r="F25" s="339">
        <v>125.61661879052164</v>
      </c>
      <c r="H25" s="221"/>
      <c r="I25" s="221"/>
    </row>
    <row r="26" spans="1:12" x14ac:dyDescent="0.35">
      <c r="A26" s="315" t="s">
        <v>576</v>
      </c>
      <c r="B26" s="322">
        <f>DCF!B44</f>
        <v>178.77448158803566</v>
      </c>
      <c r="C26" s="348">
        <f t="shared" si="0"/>
        <v>146.7967411434748</v>
      </c>
      <c r="D26" s="329">
        <v>246.52777363877428</v>
      </c>
      <c r="E26" s="329">
        <v>166.60913104424569</v>
      </c>
      <c r="F26" s="338">
        <v>146.7967411434748</v>
      </c>
      <c r="H26" s="221"/>
      <c r="I26" s="221"/>
    </row>
    <row r="27" spans="1:12" x14ac:dyDescent="0.35">
      <c r="A27" s="221"/>
      <c r="B27" s="221"/>
      <c r="C27" s="221"/>
      <c r="D27" s="221"/>
      <c r="H27" s="221"/>
      <c r="I27" s="221"/>
    </row>
    <row r="28" spans="1:12" x14ac:dyDescent="0.35">
      <c r="A28" s="221"/>
      <c r="B28" s="221"/>
      <c r="C28" s="221"/>
      <c r="D28" s="221"/>
    </row>
    <row r="29" spans="1:12" x14ac:dyDescent="0.35">
      <c r="A29" s="221"/>
      <c r="B29" s="221"/>
      <c r="C29" s="221"/>
      <c r="D29" s="221"/>
    </row>
    <row r="30" spans="1:12" x14ac:dyDescent="0.35">
      <c r="A30" s="221"/>
      <c r="B30" s="221"/>
      <c r="C30" s="221"/>
      <c r="D30" s="221"/>
    </row>
    <row r="31" spans="1:12" x14ac:dyDescent="0.35">
      <c r="A31" s="221"/>
      <c r="B31" s="221"/>
      <c r="C31" s="221"/>
      <c r="D31" s="221"/>
    </row>
    <row r="32" spans="1:12" x14ac:dyDescent="0.35">
      <c r="A32" s="221"/>
      <c r="B32" s="221"/>
      <c r="C32" s="221"/>
      <c r="D32" s="221"/>
    </row>
    <row r="33" spans="1:4" x14ac:dyDescent="0.35">
      <c r="A33" s="221"/>
      <c r="B33" s="221"/>
      <c r="C33" s="221"/>
      <c r="D33" s="221"/>
    </row>
    <row r="34" spans="1:4" x14ac:dyDescent="0.35">
      <c r="A34" s="221"/>
      <c r="B34" s="221"/>
      <c r="C34" s="221"/>
      <c r="D34" s="221"/>
    </row>
  </sheetData>
  <mergeCells count="2">
    <mergeCell ref="A1:G1"/>
    <mergeCell ref="A2:G2"/>
  </mergeCells>
  <conditionalFormatting sqref="A17:A35">
    <cfRule type="cellIs" dxfId="10" priority="14" operator="equal">
      <formula>""</formula>
    </cfRule>
  </conditionalFormatting>
  <conditionalFormatting sqref="G6:XFD7 A6:A8 D6:D12 C6:C13 E6:E13 G8:I9 K8:XFD9 A9:B11 G10:XFD13 A12:A13 A14:XFD16 B17:C24 D17:G26 I17:XFD26 C27:XFD35 A36:XFD1048576 A3:XFD5 H1:XFD2">
    <cfRule type="cellIs" dxfId="9" priority="17" operator="equal">
      <formula>""</formula>
    </cfRule>
  </conditionalFormatting>
  <conditionalFormatting sqref="B7:B9">
    <cfRule type="cellIs" dxfId="8" priority="11" operator="equal">
      <formula>""</formula>
    </cfRule>
  </conditionalFormatting>
  <conditionalFormatting sqref="B11:B12">
    <cfRule type="cellIs" dxfId="7" priority="9" operator="equal">
      <formula>""</formula>
    </cfRule>
  </conditionalFormatting>
  <conditionalFormatting sqref="B18:B26">
    <cfRule type="cellIs" dxfId="6" priority="12" operator="equal">
      <formula>""</formula>
    </cfRule>
  </conditionalFormatting>
  <conditionalFormatting sqref="C18:C23">
    <cfRule type="cellIs" dxfId="5" priority="5" operator="equal">
      <formula>""</formula>
    </cfRule>
  </conditionalFormatting>
  <conditionalFormatting sqref="C25:C26">
    <cfRule type="cellIs" dxfId="4" priority="4" operator="equal">
      <formula>""</formula>
    </cfRule>
  </conditionalFormatting>
  <conditionalFormatting sqref="A1:G1">
    <cfRule type="cellIs" dxfId="2" priority="2" operator="equal">
      <formula>""</formula>
    </cfRule>
  </conditionalFormatting>
  <conditionalFormatting sqref="A2:G2">
    <cfRule type="cellIs" dxfId="1" priority="1" operator="equal">
      <formula>""</formula>
    </cfRule>
  </conditionalFormatting>
  <dataValidations disablePrompts="1" count="1">
    <dataValidation type="list" sqref="B4" xr:uid="{AD0EB262-BB74-4164-A096-5F784E5B9B47}">
      <formula1>"Base,Bull,Bear"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C8B29-DB9C-4504-AC5E-7A6A898DABF0}">
  <sheetPr codeName="Sheet13">
    <tabColor theme="8" tint="0.39997558519241921"/>
  </sheetPr>
  <dimension ref="A1:H18"/>
  <sheetViews>
    <sheetView zoomScaleNormal="100" workbookViewId="0">
      <selection activeCell="D5" sqref="D5"/>
    </sheetView>
  </sheetViews>
  <sheetFormatPr defaultColWidth="8.6328125" defaultRowHeight="14.5" x14ac:dyDescent="0.35"/>
  <cols>
    <col min="1" max="1" width="24" customWidth="1"/>
    <col min="2" max="7" width="15" customWidth="1"/>
    <col min="8" max="8" width="16.90625" customWidth="1"/>
  </cols>
  <sheetData>
    <row r="1" spans="1:8" ht="21" x14ac:dyDescent="0.35">
      <c r="A1" s="370" t="s">
        <v>594</v>
      </c>
      <c r="B1" s="370"/>
      <c r="C1" s="370"/>
      <c r="D1" s="370"/>
      <c r="E1" s="370"/>
      <c r="F1" s="370"/>
    </row>
    <row r="2" spans="1:8" x14ac:dyDescent="0.35">
      <c r="A2" s="371" t="s">
        <v>595</v>
      </c>
      <c r="B2" s="371"/>
      <c r="C2" s="371"/>
      <c r="D2" s="371"/>
      <c r="E2" s="371"/>
      <c r="F2" s="371"/>
    </row>
    <row r="4" spans="1:8" x14ac:dyDescent="0.35">
      <c r="A4" s="252" t="s">
        <v>596</v>
      </c>
      <c r="B4" s="253" t="s">
        <v>597</v>
      </c>
      <c r="C4" s="253" t="s">
        <v>598</v>
      </c>
      <c r="D4" s="253" t="s">
        <v>599</v>
      </c>
      <c r="E4" s="253" t="s">
        <v>600</v>
      </c>
      <c r="F4" s="253" t="s">
        <v>601</v>
      </c>
      <c r="G4" s="253" t="s">
        <v>602</v>
      </c>
      <c r="H4" s="254" t="s">
        <v>603</v>
      </c>
    </row>
    <row r="5" spans="1:8" x14ac:dyDescent="0.35">
      <c r="A5" s="23" t="s">
        <v>604</v>
      </c>
      <c r="B5" s="255">
        <v>0</v>
      </c>
      <c r="C5" s="255">
        <f>[1]Assumptions!C12</f>
        <v>0.22</v>
      </c>
      <c r="D5" s="239">
        <f>[1]Assumptions!C5*(1+[1]Assumptions!C6+0)*(1+[1]Assumptions!C7+0)*(1+[1]Assumptions!C8+0)</f>
        <v>1224.9360000000001</v>
      </c>
      <c r="E5" s="239">
        <f t="shared" ref="E5:E11" si="0">D5*C5</f>
        <v>269.48592000000002</v>
      </c>
      <c r="F5" s="239">
        <f>[1]Assumptions!C24*1</f>
        <v>200</v>
      </c>
      <c r="G5" s="259">
        <f t="shared" ref="G5:G11" si="1">IFERROR(F5/E5,"-")</f>
        <v>0.74215380157894695</v>
      </c>
      <c r="H5" s="260">
        <f>IFERROR(F5/(E5*(1-[1]Assumptions!C22)),"-")</f>
        <v>0.98953840210526278</v>
      </c>
    </row>
    <row r="6" spans="1:8" x14ac:dyDescent="0.35">
      <c r="A6" s="23" t="s">
        <v>605</v>
      </c>
      <c r="B6" s="255">
        <v>-0.2</v>
      </c>
      <c r="C6" s="255">
        <f>[1]Assumptions!C12</f>
        <v>0.22</v>
      </c>
      <c r="D6" s="239">
        <f>[1]Assumptions!C5*(1+[1]Assumptions!C6+-0.2)*(1+[1]Assumptions!C7+-0.2)*(1+[1]Assumptions!C8+-0.2)</f>
        <v>658.41600000000017</v>
      </c>
      <c r="E6" s="239">
        <f t="shared" si="0"/>
        <v>144.85152000000005</v>
      </c>
      <c r="F6" s="239">
        <f>[1]Assumptions!C24*1</f>
        <v>200</v>
      </c>
      <c r="G6" s="259">
        <f t="shared" si="1"/>
        <v>1.3807242064149547</v>
      </c>
      <c r="H6" s="260">
        <f>IFERROR(F6/(E6*(1-[1]Assumptions!C22)),"-")</f>
        <v>1.8409656085532728</v>
      </c>
    </row>
    <row r="7" spans="1:8" x14ac:dyDescent="0.35">
      <c r="A7" s="23" t="s">
        <v>606</v>
      </c>
      <c r="B7" s="255">
        <v>-0.4</v>
      </c>
      <c r="C7" s="255">
        <v>0.18</v>
      </c>
      <c r="D7" s="239">
        <f>[1]Assumptions!C5*(1+[1]Assumptions!C6+-0.4)*(1+[1]Assumptions!C7+-0.4)*(1+[1]Assumptions!C8+-0.4)</f>
        <v>300.69600000000003</v>
      </c>
      <c r="E7" s="239">
        <f t="shared" si="0"/>
        <v>54.125280000000004</v>
      </c>
      <c r="F7" s="239">
        <f>[1]Assumptions!C24*1</f>
        <v>200</v>
      </c>
      <c r="G7" s="259">
        <f t="shared" si="1"/>
        <v>3.6951309997842041</v>
      </c>
      <c r="H7" s="260">
        <f>IFERROR(F7/(E7*(1-[1]Assumptions!C22)),"-")</f>
        <v>4.9268413330456058</v>
      </c>
    </row>
    <row r="8" spans="1:8" x14ac:dyDescent="0.35">
      <c r="A8" s="23" t="s">
        <v>607</v>
      </c>
      <c r="B8" s="255">
        <v>0</v>
      </c>
      <c r="C8" s="255">
        <v>0.14000000000000001</v>
      </c>
      <c r="D8" s="239">
        <f>[1]Assumptions!C5*(1+[1]Assumptions!C6+0)*(1+[1]Assumptions!C7+0)*(1+[1]Assumptions!C8+0)</f>
        <v>1224.9360000000001</v>
      </c>
      <c r="E8" s="239">
        <f t="shared" si="0"/>
        <v>171.49104000000003</v>
      </c>
      <c r="F8" s="239">
        <f>[1]Assumptions!C24*1</f>
        <v>200</v>
      </c>
      <c r="G8" s="259">
        <f t="shared" si="1"/>
        <v>1.166241688195488</v>
      </c>
      <c r="H8" s="260">
        <f>IFERROR(F8/(E8*(1-[1]Assumptions!C22)),"-")</f>
        <v>1.5549889175939839</v>
      </c>
    </row>
    <row r="9" spans="1:8" x14ac:dyDescent="0.35">
      <c r="A9" s="23" t="s">
        <v>608</v>
      </c>
      <c r="B9" s="255">
        <v>0</v>
      </c>
      <c r="C9" s="255">
        <f>[1]Assumptions!C12</f>
        <v>0.22</v>
      </c>
      <c r="D9" s="239">
        <f>[1]Assumptions!C5*(1+[1]Assumptions!C6+0)*(1+[1]Assumptions!C7+0)*(1+[1]Assumptions!C8+0)</f>
        <v>1224.9360000000001</v>
      </c>
      <c r="E9" s="239">
        <f t="shared" si="0"/>
        <v>269.48592000000002</v>
      </c>
      <c r="F9" s="239">
        <f>[1]Assumptions!C24*1</f>
        <v>200</v>
      </c>
      <c r="G9" s="259">
        <f t="shared" si="1"/>
        <v>0.74215380157894695</v>
      </c>
      <c r="H9" s="260">
        <f>IFERROR(F9/(E9*(1-[1]Assumptions!C22)),"-")</f>
        <v>0.98953840210526278</v>
      </c>
    </row>
    <row r="10" spans="1:8" x14ac:dyDescent="0.35">
      <c r="A10" s="23" t="s">
        <v>609</v>
      </c>
      <c r="B10" s="255">
        <v>0</v>
      </c>
      <c r="C10" s="255">
        <f>[1]Assumptions!C12</f>
        <v>0.22</v>
      </c>
      <c r="D10" s="239">
        <f>[1]Assumptions!C5*(1+[1]Assumptions!C6+0)*(1+[1]Assumptions!C7+0)*(1+[1]Assumptions!C8+0)</f>
        <v>1224.9360000000001</v>
      </c>
      <c r="E10" s="239">
        <f t="shared" si="0"/>
        <v>269.48592000000002</v>
      </c>
      <c r="F10" s="239">
        <f>[1]Assumptions!C24*2</f>
        <v>400</v>
      </c>
      <c r="G10" s="259">
        <f t="shared" si="1"/>
        <v>1.4843076031578939</v>
      </c>
      <c r="H10" s="260">
        <f>IFERROR(F10/(E10*(1-[1]Assumptions!C22)),"-")</f>
        <v>1.9790768042105256</v>
      </c>
    </row>
    <row r="11" spans="1:8" x14ac:dyDescent="0.35">
      <c r="A11" s="26" t="s">
        <v>610</v>
      </c>
      <c r="B11" s="261">
        <v>-0.25</v>
      </c>
      <c r="C11" s="261">
        <v>0.15</v>
      </c>
      <c r="D11" s="201">
        <f>[1]Assumptions!C5*(1+[1]Assumptions!C6+-0.25)*(1+[1]Assumptions!C7+-0.25)*(1+[1]Assumptions!C8+-0.25)</f>
        <v>551.28600000000017</v>
      </c>
      <c r="E11" s="201">
        <f t="shared" si="0"/>
        <v>82.692900000000023</v>
      </c>
      <c r="F11" s="201">
        <f>[1]Assumptions!C24*1.5</f>
        <v>300</v>
      </c>
      <c r="G11" s="262">
        <f t="shared" si="1"/>
        <v>3.6278809909919705</v>
      </c>
      <c r="H11" s="263">
        <f>IFERROR(F11/(E11*(1-[1]Assumptions!C22)),"-")</f>
        <v>4.8371746546559606</v>
      </c>
    </row>
    <row r="13" spans="1:8" x14ac:dyDescent="0.35">
      <c r="A13" s="199" t="s">
        <v>611</v>
      </c>
    </row>
    <row r="14" spans="1:8" x14ac:dyDescent="0.35">
      <c r="A14" s="264" t="s">
        <v>626</v>
      </c>
      <c r="B14" s="265"/>
      <c r="C14" s="265"/>
    </row>
    <row r="15" spans="1:8" x14ac:dyDescent="0.35">
      <c r="A15" s="196" t="s">
        <v>612</v>
      </c>
    </row>
    <row r="16" spans="1:8" x14ac:dyDescent="0.35">
      <c r="A16" s="196" t="s">
        <v>613</v>
      </c>
    </row>
    <row r="17" spans="1:1" x14ac:dyDescent="0.35">
      <c r="A17" s="196" t="s">
        <v>614</v>
      </c>
    </row>
    <row r="18" spans="1:1" x14ac:dyDescent="0.35">
      <c r="A18" s="196" t="s">
        <v>615</v>
      </c>
    </row>
  </sheetData>
  <mergeCells count="2">
    <mergeCell ref="A1:F1"/>
    <mergeCell ref="A2:F2"/>
  </mergeCells>
  <conditionalFormatting sqref="A1:XFD18 B19:XFD19 A20:XFD1048576">
    <cfRule type="cellIs" dxfId="0" priority="1" operator="equal">
      <formula>""</formula>
    </cfRule>
  </conditionalFormatting>
  <conditionalFormatting sqref="G5:G11">
    <cfRule type="colorScale" priority="2">
      <colorScale>
        <cfvo type="min"/>
        <cfvo type="max"/>
        <color rgb="FF63BE7B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Assumptions &amp; Drivers</vt:lpstr>
      <vt:lpstr>Raw (Income Statement)</vt:lpstr>
      <vt:lpstr>Income Statement</vt:lpstr>
      <vt:lpstr>Cash Flow Statement</vt:lpstr>
      <vt:lpstr>Raw (CF Statement)</vt:lpstr>
      <vt:lpstr>Balance Sheet</vt:lpstr>
      <vt:lpstr>Raw (Balance Sheet)</vt:lpstr>
      <vt:lpstr>Financial Summary</vt:lpstr>
      <vt:lpstr>DCF</vt:lpstr>
      <vt:lpstr>Sensitivity Analysis</vt:lpstr>
      <vt:lpstr>Scenario Analysis</vt:lpstr>
      <vt:lpstr>Stress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Bryan Brkat</cp:lastModifiedBy>
  <cp:revision>0</cp:revision>
  <dcterms:created xsi:type="dcterms:W3CDTF">2026-03-13T07:28:48Z</dcterms:created>
  <dcterms:modified xsi:type="dcterms:W3CDTF">2026-03-24T06:20:07Z</dcterms:modified>
  <dc:language>en-US</dc:language>
</cp:coreProperties>
</file>